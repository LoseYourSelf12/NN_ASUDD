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60" windowWidth="22995" windowHeight="10560"/>
  </bookViews>
  <sheets>
    <sheet name="Эмулятор выбора программ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V22" i="1" l="1"/>
  <c r="AA12" i="1" l="1"/>
  <c r="R38" i="1"/>
  <c r="U37" i="1"/>
  <c r="S37" i="1"/>
  <c r="U36" i="1"/>
  <c r="S36" i="1"/>
  <c r="U35" i="1"/>
  <c r="S35" i="1"/>
  <c r="U34" i="1"/>
  <c r="S34" i="1"/>
  <c r="U33" i="1"/>
  <c r="S33" i="1"/>
  <c r="U32" i="1"/>
  <c r="S32" i="1"/>
  <c r="U31" i="1"/>
  <c r="S31" i="1"/>
  <c r="M38" i="1"/>
  <c r="P37" i="1"/>
  <c r="N37" i="1"/>
  <c r="P36" i="1"/>
  <c r="N36" i="1"/>
  <c r="P35" i="1"/>
  <c r="N35" i="1"/>
  <c r="P34" i="1"/>
  <c r="N34" i="1"/>
  <c r="P33" i="1"/>
  <c r="N33" i="1"/>
  <c r="P32" i="1"/>
  <c r="N32" i="1"/>
  <c r="P31" i="1"/>
  <c r="N31" i="1"/>
  <c r="H38" i="1"/>
  <c r="K37" i="1"/>
  <c r="I37" i="1"/>
  <c r="K36" i="1"/>
  <c r="I36" i="1"/>
  <c r="K35" i="1"/>
  <c r="I35" i="1"/>
  <c r="K34" i="1"/>
  <c r="I34" i="1"/>
  <c r="K33" i="1"/>
  <c r="I33" i="1"/>
  <c r="K32" i="1"/>
  <c r="I32" i="1"/>
  <c r="K31" i="1"/>
  <c r="I31" i="1"/>
  <c r="D37" i="1"/>
  <c r="C38" i="1"/>
  <c r="D36" i="1"/>
  <c r="D35" i="1"/>
  <c r="D34" i="1"/>
  <c r="D33" i="1"/>
  <c r="D32" i="1"/>
  <c r="D31" i="1"/>
  <c r="F31" i="1"/>
  <c r="F37" i="1"/>
  <c r="F36" i="1"/>
  <c r="F35" i="1"/>
  <c r="F34" i="1"/>
  <c r="F33" i="1"/>
  <c r="F32" i="1"/>
  <c r="M39" i="1" l="1"/>
  <c r="M24" i="1" s="1"/>
  <c r="O38" i="1"/>
  <c r="R39" i="1"/>
  <c r="R24" i="1" s="1"/>
  <c r="T38" i="1"/>
  <c r="H39" i="1"/>
  <c r="H24" i="1" s="1"/>
  <c r="J38" i="1"/>
  <c r="C39" i="1"/>
  <c r="C24" i="1" s="1"/>
  <c r="E38" i="1"/>
  <c r="U21" i="1" l="1"/>
  <c r="S22" i="1"/>
  <c r="S10" i="1"/>
  <c r="U20" i="1"/>
  <c r="S21" i="1"/>
  <c r="U19" i="1"/>
  <c r="S20" i="1"/>
  <c r="U18" i="1"/>
  <c r="S19" i="1"/>
  <c r="U17" i="1"/>
  <c r="S17" i="1"/>
  <c r="U15" i="1"/>
  <c r="S16" i="1"/>
  <c r="U14" i="1"/>
  <c r="S15" i="1"/>
  <c r="S14" i="1"/>
  <c r="S12" i="1"/>
  <c r="S11" i="1"/>
  <c r="S18" i="1"/>
  <c r="U13" i="1"/>
  <c r="U22" i="1"/>
  <c r="U12" i="1"/>
  <c r="S13" i="1"/>
  <c r="U11" i="1"/>
  <c r="U10" i="1"/>
  <c r="U16" i="1"/>
  <c r="P19" i="1"/>
  <c r="N21" i="1"/>
  <c r="P18" i="1"/>
  <c r="N20" i="1"/>
  <c r="P17" i="1"/>
  <c r="N19" i="1"/>
  <c r="P16" i="1"/>
  <c r="N18" i="1"/>
  <c r="P15" i="1"/>
  <c r="N17" i="1"/>
  <c r="P14" i="1"/>
  <c r="N16" i="1"/>
  <c r="N11" i="1"/>
  <c r="N22" i="1"/>
  <c r="P13" i="1"/>
  <c r="N15" i="1"/>
  <c r="P12" i="1"/>
  <c r="N14" i="1"/>
  <c r="P11" i="1"/>
  <c r="N13" i="1"/>
  <c r="P22" i="1"/>
  <c r="P10" i="1"/>
  <c r="N12" i="1"/>
  <c r="P21" i="1"/>
  <c r="P20" i="1"/>
  <c r="N10" i="1"/>
  <c r="K13" i="1"/>
  <c r="I16" i="1"/>
  <c r="I14" i="1"/>
  <c r="K22" i="1"/>
  <c r="I13" i="1"/>
  <c r="K12" i="1"/>
  <c r="I15" i="1"/>
  <c r="K11" i="1"/>
  <c r="K10" i="1"/>
  <c r="I12" i="1"/>
  <c r="K20" i="1"/>
  <c r="I11" i="1"/>
  <c r="K15" i="1"/>
  <c r="K19" i="1"/>
  <c r="I22" i="1"/>
  <c r="I10" i="1"/>
  <c r="I20" i="1"/>
  <c r="I19" i="1"/>
  <c r="I18" i="1"/>
  <c r="K18" i="1"/>
  <c r="I21" i="1"/>
  <c r="K17" i="1"/>
  <c r="K16" i="1"/>
  <c r="K14" i="1"/>
  <c r="I17" i="1"/>
  <c r="K21" i="1"/>
  <c r="F15" i="1"/>
  <c r="D18" i="1"/>
  <c r="F14" i="1"/>
  <c r="D17" i="1"/>
  <c r="F13" i="1"/>
  <c r="D16" i="1"/>
  <c r="D19" i="1"/>
  <c r="F12" i="1"/>
  <c r="D15" i="1"/>
  <c r="F11" i="1"/>
  <c r="D14" i="1"/>
  <c r="F22" i="1"/>
  <c r="D13" i="1"/>
  <c r="F21" i="1"/>
  <c r="D12" i="1"/>
  <c r="F20" i="1"/>
  <c r="D11" i="1"/>
  <c r="F19" i="1"/>
  <c r="D22" i="1"/>
  <c r="F10" i="1"/>
  <c r="F18" i="1"/>
  <c r="D21" i="1"/>
  <c r="D10" i="1"/>
  <c r="F17" i="1"/>
  <c r="D20" i="1"/>
  <c r="F16" i="1"/>
  <c r="AC16" i="1"/>
  <c r="AC18" i="1" l="1"/>
  <c r="AD15" i="1"/>
  <c r="AD19" i="1"/>
  <c r="AB16" i="1"/>
  <c r="AA11" i="1"/>
  <c r="AC10" i="1"/>
  <c r="AA17" i="1"/>
  <c r="AC14" i="1"/>
  <c r="AA15" i="1"/>
  <c r="AB11" i="1"/>
  <c r="AA14" i="1"/>
  <c r="AC13" i="1"/>
  <c r="AD12" i="1"/>
  <c r="AC15" i="1"/>
  <c r="AC11" i="1"/>
  <c r="AC12" i="1"/>
  <c r="AA20" i="1"/>
  <c r="AC21" i="1"/>
  <c r="AA13" i="1"/>
  <c r="AB10" i="1"/>
  <c r="AD21" i="1"/>
  <c r="AB18" i="1"/>
  <c r="AB22" i="1"/>
  <c r="AD22" i="1"/>
  <c r="AB20" i="1"/>
  <c r="AB21" i="1"/>
  <c r="AD11" i="1"/>
  <c r="AB13" i="1"/>
  <c r="AC17" i="1"/>
  <c r="AD14" i="1"/>
  <c r="AA22" i="1"/>
  <c r="AB17" i="1"/>
  <c r="AD16" i="1"/>
  <c r="AD13" i="1"/>
  <c r="AD20" i="1"/>
  <c r="AA19" i="1"/>
  <c r="AA21" i="1"/>
  <c r="AA10" i="1"/>
  <c r="AC19" i="1"/>
  <c r="AA16" i="1"/>
  <c r="AB14" i="1"/>
  <c r="AC20" i="1"/>
  <c r="AD17" i="1"/>
  <c r="AB19" i="1"/>
  <c r="AA18" i="1"/>
  <c r="AB15" i="1"/>
  <c r="AC22" i="1"/>
  <c r="AD10" i="1"/>
  <c r="AD18" i="1"/>
  <c r="AB12" i="1"/>
  <c r="AE22" i="1" l="1"/>
  <c r="V12" i="1"/>
  <c r="AE12" i="1"/>
  <c r="V19" i="1"/>
  <c r="AE19" i="1"/>
  <c r="V14" i="1"/>
  <c r="AE14" i="1"/>
  <c r="V15" i="1"/>
  <c r="AE15" i="1"/>
  <c r="V17" i="1"/>
  <c r="AE17" i="1"/>
  <c r="AE10" i="1"/>
  <c r="V10" i="1"/>
  <c r="V21" i="1"/>
  <c r="AE21" i="1"/>
  <c r="V18" i="1"/>
  <c r="AE18" i="1"/>
  <c r="V13" i="1"/>
  <c r="AE13" i="1"/>
  <c r="V20" i="1"/>
  <c r="AE20" i="1"/>
  <c r="V11" i="1"/>
  <c r="AE11" i="1"/>
  <c r="AE16" i="1"/>
  <c r="V16" i="1"/>
  <c r="A2" i="1" l="1"/>
</calcChain>
</file>

<file path=xl/sharedStrings.xml><?xml version="1.0" encoding="utf-8"?>
<sst xmlns="http://schemas.openxmlformats.org/spreadsheetml/2006/main" count="36" uniqueCount="23">
  <si>
    <t>№ пр</t>
  </si>
  <si>
    <t xml:space="preserve">от </t>
  </si>
  <si>
    <t>до</t>
  </si>
  <si>
    <t>Установка зависимостей (правил) при формировании таймингов программ</t>
  </si>
  <si>
    <t>Правила выбора программ</t>
  </si>
  <si>
    <t>Выбранная программа</t>
  </si>
  <si>
    <t>0 - при "усреднении" применяется Среднеарифметичесий значение,  &lt;&gt; 0 - Средневзвешенное значение</t>
  </si>
  <si>
    <t>Эмулятор  выбора прграмм ДК КДУ-3  в зависимости от интенсивности движения</t>
  </si>
  <si>
    <t>*</t>
  </si>
  <si>
    <r>
      <rPr>
        <b/>
        <sz val="11"/>
        <color rgb="FFFF0000"/>
        <rFont val="Calibri"/>
        <family val="2"/>
        <charset val="204"/>
        <scheme val="minor"/>
      </rPr>
      <t>**</t>
    </r>
    <r>
      <rPr>
        <sz val="11"/>
        <color theme="1"/>
        <rFont val="Calibri"/>
        <family val="2"/>
        <charset val="204"/>
        <scheme val="minor"/>
      </rPr>
      <t xml:space="preserve"> - при "совпадении" условий для нескольких программ, призводится выбор программы с наименьшим номером</t>
    </r>
  </si>
  <si>
    <r>
      <rPr>
        <b/>
        <sz val="11"/>
        <color rgb="FFFF0000"/>
        <rFont val="Calibri"/>
        <family val="2"/>
        <charset val="204"/>
        <scheme val="minor"/>
      </rPr>
      <t>*</t>
    </r>
    <r>
      <rPr>
        <sz val="11"/>
        <color theme="1"/>
        <rFont val="Calibri"/>
        <family val="2"/>
        <charset val="204"/>
        <scheme val="minor"/>
      </rPr>
      <t xml:space="preserve"> - если в колонке для данной программы установлено "1", то значения интенсивности при выборе учитываются, иначе - нет.</t>
    </r>
  </si>
  <si>
    <t>Кол-во циклов по котрым производится "усреднение" показателей интенсивности</t>
  </si>
  <si>
    <t>Значения в циклах по котрым производится "усреднение" показателей интенсивности</t>
  </si>
  <si>
    <t>1 детектор</t>
  </si>
  <si>
    <t>Цикл</t>
  </si>
  <si>
    <t>2 детектор</t>
  </si>
  <si>
    <t>"Усредненные" значения интенсивности для которых выбирается программа</t>
  </si>
  <si>
    <t>3 детектор</t>
  </si>
  <si>
    <t>4 детектор</t>
  </si>
  <si>
    <t>Значения интенсивности транспортного потка (в привед. Ед в час)</t>
  </si>
  <si>
    <r>
      <t>Программа в диапазоне условий</t>
    </r>
    <r>
      <rPr>
        <b/>
        <sz val="11"/>
        <color rgb="FFFF0000"/>
        <rFont val="Calibri"/>
        <family val="2"/>
        <charset val="204"/>
        <scheme val="minor"/>
      </rPr>
      <t xml:space="preserve"> **</t>
    </r>
  </si>
  <si>
    <t>МИН</t>
  </si>
  <si>
    <t>МАКС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</si>
</sst>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1" fillId="6" borderId="0" xfId="0" applyFont="1" applyFill="1"/>
    <xf numFmtId="0" fontId="0" fillId="6" borderId="0" xfId="0" applyFill="1"/>
    <xf numFmtId="0" fontId="2" fillId="6" borderId="0" xfId="0" applyFont="1" applyFill="1" applyBorder="1"/>
    <xf numFmtId="0" fontId="0" fillId="2" borderId="1" xfId="0" applyFill="1" applyBorder="1" applyAlignment="1">
      <alignment horizontal="center"/>
    </xf>
    <xf numFmtId="3" fontId="2" fillId="0" borderId="29" xfId="0" applyNumberFormat="1" applyFont="1" applyBorder="1" applyAlignment="1"/>
    <xf numFmtId="3" fontId="2" fillId="0" borderId="28" xfId="0" applyNumberFormat="1" applyFont="1" applyBorder="1" applyAlignment="1"/>
    <xf numFmtId="3" fontId="2" fillId="0" borderId="30" xfId="0" applyNumberFormat="1" applyFont="1" applyBorder="1" applyAlignment="1"/>
    <xf numFmtId="3" fontId="0" fillId="0" borderId="27" xfId="0" applyNumberFormat="1" applyBorder="1" applyAlignment="1"/>
    <xf numFmtId="0" fontId="0" fillId="7" borderId="12" xfId="0" applyFill="1" applyBorder="1"/>
    <xf numFmtId="3" fontId="2" fillId="7" borderId="21" xfId="0" applyNumberFormat="1" applyFont="1" applyFill="1" applyBorder="1" applyAlignment="1"/>
    <xf numFmtId="3" fontId="2" fillId="7" borderId="0" xfId="0" applyNumberFormat="1" applyFont="1" applyFill="1" applyBorder="1" applyAlignment="1"/>
    <xf numFmtId="0" fontId="0" fillId="7" borderId="13" xfId="0" applyFill="1" applyBorder="1"/>
    <xf numFmtId="3" fontId="2" fillId="7" borderId="22" xfId="0" applyNumberFormat="1" applyFont="1" applyFill="1" applyBorder="1" applyAlignment="1"/>
    <xf numFmtId="3" fontId="2" fillId="7" borderId="23" xfId="0" applyNumberFormat="1" applyFont="1" applyFill="1" applyBorder="1" applyAlignment="1"/>
    <xf numFmtId="3" fontId="2" fillId="7" borderId="2" xfId="0" applyNumberFormat="1" applyFont="1" applyFill="1" applyBorder="1" applyAlignment="1"/>
    <xf numFmtId="0" fontId="3" fillId="6" borderId="0" xfId="0" applyFont="1" applyFill="1"/>
    <xf numFmtId="0" fontId="3" fillId="5" borderId="1" xfId="0" applyFont="1" applyFill="1" applyBorder="1" applyAlignment="1">
      <alignment horizontal="center"/>
    </xf>
    <xf numFmtId="3" fontId="0" fillId="8" borderId="0" xfId="0" applyNumberFormat="1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4" borderId="0" xfId="0" applyNumberFormat="1" applyFill="1" applyBorder="1" applyAlignment="1">
      <alignment horizontal="right"/>
    </xf>
    <xf numFmtId="0" fontId="0" fillId="4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6" borderId="19" xfId="0" applyFill="1" applyBorder="1"/>
    <xf numFmtId="0" fontId="0" fillId="6" borderId="31" xfId="0" applyFill="1" applyBorder="1"/>
    <xf numFmtId="0" fontId="0" fillId="3" borderId="32" xfId="0" applyFill="1" applyBorder="1" applyAlignment="1">
      <alignment horizontal="center"/>
    </xf>
    <xf numFmtId="3" fontId="2" fillId="7" borderId="27" xfId="0" applyNumberFormat="1" applyFont="1" applyFill="1" applyBorder="1" applyAlignment="1"/>
    <xf numFmtId="3" fontId="2" fillId="7" borderId="13" xfId="0" applyNumberFormat="1" applyFont="1" applyFill="1" applyBorder="1" applyAlignment="1"/>
    <xf numFmtId="3" fontId="2" fillId="7" borderId="14" xfId="0" applyNumberFormat="1" applyFont="1" applyFill="1" applyBorder="1" applyAlignment="1"/>
    <xf numFmtId="3" fontId="2" fillId="7" borderId="33" xfId="0" applyNumberFormat="1" applyFont="1" applyFill="1" applyBorder="1" applyAlignment="1"/>
    <xf numFmtId="3" fontId="2" fillId="7" borderId="34" xfId="0" applyNumberFormat="1" applyFont="1" applyFill="1" applyBorder="1" applyAlignment="1"/>
    <xf numFmtId="0" fontId="0" fillId="9" borderId="0" xfId="0" applyFill="1"/>
    <xf numFmtId="0" fontId="0" fillId="9" borderId="4" xfId="0" applyFill="1" applyBorder="1"/>
    <xf numFmtId="0" fontId="0" fillId="9" borderId="10" xfId="0" applyFill="1" applyBorder="1"/>
    <xf numFmtId="0" fontId="0" fillId="6" borderId="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/>
      <protection locked="0"/>
    </xf>
    <xf numFmtId="3" fontId="2" fillId="0" borderId="4" xfId="0" applyNumberFormat="1" applyFon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2" fillId="0" borderId="6" xfId="0" applyFont="1" applyFill="1" applyBorder="1" applyAlignment="1" applyProtection="1">
      <alignment horizontal="center"/>
      <protection locked="0"/>
    </xf>
    <xf numFmtId="3" fontId="2" fillId="0" borderId="7" xfId="0" applyNumberFormat="1" applyFon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3" fontId="2" fillId="0" borderId="10" xfId="0" applyNumberFormat="1" applyFon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2" fillId="0" borderId="1" xfId="0" applyFont="1" applyBorder="1" applyProtection="1">
      <protection locked="0"/>
    </xf>
    <xf numFmtId="3" fontId="2" fillId="7" borderId="28" xfId="0" applyNumberFormat="1" applyFont="1" applyFill="1" applyBorder="1" applyAlignment="1" applyProtection="1">
      <protection locked="0"/>
    </xf>
    <xf numFmtId="3" fontId="2" fillId="7" borderId="29" xfId="0" applyNumberFormat="1" applyFont="1" applyFill="1" applyBorder="1" applyAlignment="1" applyProtection="1">
      <protection locked="0"/>
    </xf>
    <xf numFmtId="3" fontId="2" fillId="7" borderId="30" xfId="0" applyNumberFormat="1" applyFont="1" applyFill="1" applyBorder="1" applyAlignment="1" applyProtection="1">
      <protection locked="0"/>
    </xf>
    <xf numFmtId="3" fontId="2" fillId="7" borderId="21" xfId="0" applyNumberFormat="1" applyFont="1" applyFill="1" applyBorder="1" applyAlignment="1" applyProtection="1">
      <protection locked="0"/>
    </xf>
    <xf numFmtId="3" fontId="2" fillId="7" borderId="22" xfId="0" applyNumberFormat="1" applyFont="1" applyFill="1" applyBorder="1" applyAlignment="1" applyProtection="1">
      <protection locked="0"/>
    </xf>
    <xf numFmtId="3" fontId="2" fillId="7" borderId="23" xfId="0" applyNumberFormat="1" applyFont="1" applyFill="1" applyBorder="1" applyAlignment="1" applyProtection="1"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2" fillId="0" borderId="11" xfId="0" applyFont="1" applyFill="1" applyBorder="1" applyAlignment="1" applyProtection="1">
      <alignment horizontal="center"/>
      <protection locked="0"/>
    </xf>
  </cellXfs>
  <cellStyles count="1">
    <cellStyle name="Обычный" xfId="0" builtinId="0"/>
  </cellStyles>
  <dxfs count="62"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CCFFCC"/>
          </stop>
          <stop position="1">
            <color theme="0"/>
          </stop>
        </gradientFill>
      </fill>
    </dxf>
    <dxf>
      <font>
        <color theme="0" tint="-0.499984740745262"/>
      </font>
      <fill>
        <gradientFill degree="90">
          <stop position="0">
            <color theme="0"/>
          </stop>
          <stop position="0.5">
            <color theme="0" tint="-0.1490218817712943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0000FF"/>
      <color rgb="FFCCFFCC"/>
      <color rgb="FFE6E6E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47626</xdr:colOff>
          <xdr:row>40</xdr:row>
          <xdr:rowOff>9525</xdr:rowOff>
        </xdr:from>
        <xdr:to>
          <xdr:col>6</xdr:col>
          <xdr:colOff>146539</xdr:colOff>
          <xdr:row>42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Случайные значения интенсивности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E45"/>
  <sheetViews>
    <sheetView tabSelected="1" zoomScale="130" zoomScaleNormal="130" workbookViewId="0">
      <selection activeCell="A27" sqref="A27"/>
    </sheetView>
  </sheetViews>
  <sheetFormatPr defaultRowHeight="15" x14ac:dyDescent="0.25"/>
  <cols>
    <col min="1" max="1" width="9.7109375" customWidth="1"/>
    <col min="2" max="2" width="3.140625" customWidth="1"/>
    <col min="3" max="3" width="6.7109375" customWidth="1"/>
    <col min="4" max="4" width="2.7109375" hidden="1" customWidth="1"/>
    <col min="6" max="6" width="2.7109375" hidden="1" customWidth="1"/>
    <col min="7" max="7" width="3.140625" customWidth="1"/>
    <col min="8" max="8" width="6.7109375" customWidth="1"/>
    <col min="9" max="9" width="2.7109375" hidden="1" customWidth="1"/>
    <col min="11" max="11" width="2.7109375" hidden="1" customWidth="1"/>
    <col min="12" max="12" width="3.140625" customWidth="1"/>
    <col min="13" max="13" width="6.7109375" customWidth="1"/>
    <col min="14" max="14" width="2.7109375" hidden="1" customWidth="1"/>
    <col min="16" max="16" width="2.7109375" hidden="1" customWidth="1"/>
    <col min="17" max="17" width="3.140625" customWidth="1"/>
    <col min="18" max="18" width="6.7109375" customWidth="1"/>
    <col min="19" max="19" width="2.7109375" hidden="1" customWidth="1"/>
    <col min="21" max="21" width="2.7109375" hidden="1" customWidth="1"/>
    <col min="22" max="22" width="12.42578125" customWidth="1"/>
    <col min="23" max="26" width="15.7109375" customWidth="1"/>
    <col min="27" max="31" width="0" hidden="1" customWidth="1"/>
  </cols>
  <sheetData>
    <row r="1" spans="1:31" x14ac:dyDescent="0.25">
      <c r="A1" s="13" t="s">
        <v>7</v>
      </c>
      <c r="B1" s="13"/>
      <c r="C1" s="14"/>
      <c r="D1" s="14"/>
      <c r="E1" s="14"/>
      <c r="F1" s="14"/>
      <c r="G1" s="13"/>
      <c r="H1" s="14"/>
      <c r="I1" s="14"/>
      <c r="J1" s="14"/>
      <c r="K1" s="14"/>
      <c r="L1" s="13"/>
      <c r="M1" s="14"/>
      <c r="N1" s="14"/>
      <c r="O1" s="14"/>
      <c r="P1" s="14"/>
      <c r="Q1" s="13"/>
      <c r="R1" s="14"/>
      <c r="S1" s="14"/>
      <c r="T1" s="14"/>
      <c r="U1" s="14"/>
      <c r="V1" s="14"/>
      <c r="W1" s="14"/>
      <c r="X1" s="14"/>
      <c r="Y1" s="14"/>
      <c r="Z1" s="14"/>
    </row>
    <row r="2" spans="1:31" x14ac:dyDescent="0.25">
      <c r="A2" s="29">
        <f>MIN(V10:V22)</f>
        <v>10</v>
      </c>
      <c r="B2" s="14"/>
      <c r="C2" s="28" t="s">
        <v>5</v>
      </c>
      <c r="D2" s="14"/>
      <c r="E2" s="14"/>
      <c r="F2" s="14"/>
      <c r="G2" s="14"/>
      <c r="H2" s="13"/>
      <c r="I2" s="14"/>
      <c r="J2" s="14"/>
      <c r="K2" s="14"/>
      <c r="L2" s="14"/>
      <c r="M2" s="13"/>
      <c r="N2" s="14"/>
      <c r="O2" s="14"/>
      <c r="P2" s="14"/>
      <c r="Q2" s="14"/>
      <c r="R2" s="13"/>
      <c r="S2" s="14"/>
      <c r="T2" s="14"/>
      <c r="U2" s="14"/>
      <c r="V2" s="14"/>
      <c r="W2" s="14"/>
      <c r="X2" s="14"/>
      <c r="Y2" s="14"/>
      <c r="Z2" s="14"/>
    </row>
    <row r="3" spans="1:31" x14ac:dyDescent="0.25">
      <c r="A3" s="14" t="s">
        <v>4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31" x14ac:dyDescent="0.25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31" x14ac:dyDescent="0.25">
      <c r="A5" s="14" t="s">
        <v>10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31" x14ac:dyDescent="0.25">
      <c r="A6" s="14" t="s">
        <v>9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1" ht="15" customHeight="1" x14ac:dyDescent="0.25">
      <c r="A7" s="40" t="s">
        <v>0</v>
      </c>
      <c r="B7" s="37" t="s">
        <v>19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9"/>
      <c r="V7" s="41" t="s">
        <v>20</v>
      </c>
      <c r="W7" s="14"/>
      <c r="X7" s="14"/>
      <c r="Y7" s="14"/>
      <c r="Z7" s="14"/>
    </row>
    <row r="8" spans="1:31" x14ac:dyDescent="0.25">
      <c r="A8" s="40"/>
      <c r="B8" s="31" t="s">
        <v>13</v>
      </c>
      <c r="C8" s="32"/>
      <c r="D8" s="32"/>
      <c r="E8" s="32"/>
      <c r="F8" s="34"/>
      <c r="G8" s="31" t="s">
        <v>15</v>
      </c>
      <c r="H8" s="32"/>
      <c r="I8" s="32"/>
      <c r="J8" s="32"/>
      <c r="K8" s="34"/>
      <c r="L8" s="31" t="s">
        <v>17</v>
      </c>
      <c r="M8" s="32"/>
      <c r="N8" s="32"/>
      <c r="O8" s="32"/>
      <c r="P8" s="34"/>
      <c r="Q8" s="31" t="s">
        <v>18</v>
      </c>
      <c r="R8" s="32"/>
      <c r="S8" s="32"/>
      <c r="T8" s="32"/>
      <c r="U8" s="34"/>
      <c r="V8" s="42"/>
      <c r="W8" s="14"/>
      <c r="X8" s="14"/>
      <c r="Y8" s="14"/>
      <c r="Z8" s="14"/>
    </row>
    <row r="9" spans="1:31" x14ac:dyDescent="0.25">
      <c r="A9" s="40"/>
      <c r="B9" s="12" t="s">
        <v>8</v>
      </c>
      <c r="C9" s="7" t="s">
        <v>1</v>
      </c>
      <c r="D9" s="7"/>
      <c r="E9" s="7" t="s">
        <v>2</v>
      </c>
      <c r="F9" s="7"/>
      <c r="G9" s="12" t="s">
        <v>8</v>
      </c>
      <c r="H9" s="7" t="s">
        <v>1</v>
      </c>
      <c r="I9" s="7"/>
      <c r="J9" s="7" t="s">
        <v>2</v>
      </c>
      <c r="K9" s="7"/>
      <c r="L9" s="12" t="s">
        <v>8</v>
      </c>
      <c r="M9" s="7" t="s">
        <v>1</v>
      </c>
      <c r="N9" s="7"/>
      <c r="O9" s="7" t="s">
        <v>2</v>
      </c>
      <c r="P9" s="7"/>
      <c r="Q9" s="12" t="s">
        <v>8</v>
      </c>
      <c r="R9" s="7" t="s">
        <v>1</v>
      </c>
      <c r="S9" s="7"/>
      <c r="T9" s="7" t="s">
        <v>2</v>
      </c>
      <c r="U9" s="7"/>
      <c r="V9" s="43"/>
      <c r="W9" s="14"/>
      <c r="X9" s="14"/>
      <c r="Y9" s="14"/>
      <c r="Z9" s="14"/>
    </row>
    <row r="10" spans="1:31" x14ac:dyDescent="0.25">
      <c r="A10" s="4">
        <v>4</v>
      </c>
      <c r="B10" s="58">
        <v>1</v>
      </c>
      <c r="C10" s="59">
        <v>0</v>
      </c>
      <c r="D10" s="60">
        <f>IF(C$24&gt;=C10,1,0)</f>
        <v>1</v>
      </c>
      <c r="E10" s="59">
        <v>900</v>
      </c>
      <c r="F10" s="61">
        <f>IF(C$24&lt;E10,1,0)</f>
        <v>0</v>
      </c>
      <c r="G10" s="58">
        <v>1</v>
      </c>
      <c r="H10" s="59">
        <v>0</v>
      </c>
      <c r="I10" s="60">
        <f t="shared" ref="I10:I22" si="0">IF(H$24&gt;=H10,1,0)</f>
        <v>1</v>
      </c>
      <c r="J10" s="59">
        <v>900</v>
      </c>
      <c r="K10" s="61">
        <f t="shared" ref="K10:K22" si="1">IF(H$24&lt;J10,1,0)</f>
        <v>0</v>
      </c>
      <c r="L10" s="58">
        <v>1</v>
      </c>
      <c r="M10" s="59">
        <v>0</v>
      </c>
      <c r="N10" s="60">
        <f t="shared" ref="N10:N22" si="2">IF(M$24&gt;=M10,1,0)</f>
        <v>1</v>
      </c>
      <c r="O10" s="59">
        <v>900</v>
      </c>
      <c r="P10" s="61">
        <f t="shared" ref="P10:P22" si="3">IF(M$24&lt;O10,1,0)</f>
        <v>0</v>
      </c>
      <c r="Q10" s="58">
        <v>1</v>
      </c>
      <c r="R10" s="59">
        <v>0</v>
      </c>
      <c r="S10" s="60">
        <f t="shared" ref="S10:S22" si="4">IF(R$24&gt;=R10,1,0)</f>
        <v>1</v>
      </c>
      <c r="T10" s="59">
        <v>900</v>
      </c>
      <c r="U10" s="1">
        <f t="shared" ref="U10:U22" si="5">IF(R$24&lt;T10,1,0)</f>
        <v>0</v>
      </c>
      <c r="V10" s="11" t="str">
        <f t="shared" ref="V10:V22" si="6">IF(B10+G10+L10+Q10=0,"-",IF(AND(AA10,AB10,AC10,AD10),A10,"-"))</f>
        <v>-</v>
      </c>
      <c r="W10" s="14"/>
      <c r="X10" s="14"/>
      <c r="Y10" s="14"/>
      <c r="Z10" s="14"/>
      <c r="AA10" t="b">
        <f t="shared" ref="AA10:AA11" si="7">IF(B10=1,AND(D10,F10),TRUE)</f>
        <v>0</v>
      </c>
      <c r="AB10" t="b">
        <f t="shared" ref="AB10:AB11" si="8">IF(G10=1,AND(I10,K10),TRUE)</f>
        <v>0</v>
      </c>
      <c r="AC10" t="b">
        <f t="shared" ref="AC10:AC11" si="9">IF(L10=1,AND(N10,P10),TRUE)</f>
        <v>0</v>
      </c>
      <c r="AD10" t="b">
        <f t="shared" ref="AD10:AD11" si="10">IF(Q10=1,AND(S10,U10),TRUE)</f>
        <v>0</v>
      </c>
      <c r="AE10" t="b">
        <f>AND(AA10,AB10,AC10,AD10,B10+G10+L10+Q10&gt;0)</f>
        <v>0</v>
      </c>
    </row>
    <row r="11" spans="1:31" x14ac:dyDescent="0.25">
      <c r="A11" s="5">
        <v>5</v>
      </c>
      <c r="B11" s="62">
        <v>1</v>
      </c>
      <c r="C11" s="63">
        <v>800</v>
      </c>
      <c r="D11" s="64">
        <f t="shared" ref="D11:D22" si="11">IF(C$24&gt;=C11,1,0)</f>
        <v>1</v>
      </c>
      <c r="E11" s="63">
        <v>1000</v>
      </c>
      <c r="F11" s="65">
        <f t="shared" ref="F11:F22" si="12">IF(C$24&lt;E11,1,0)</f>
        <v>0</v>
      </c>
      <c r="G11" s="62">
        <v>1</v>
      </c>
      <c r="H11" s="63">
        <v>800</v>
      </c>
      <c r="I11" s="64">
        <f t="shared" si="0"/>
        <v>1</v>
      </c>
      <c r="J11" s="63">
        <v>1000</v>
      </c>
      <c r="K11" s="65">
        <f t="shared" si="1"/>
        <v>1</v>
      </c>
      <c r="L11" s="62">
        <v>1</v>
      </c>
      <c r="M11" s="63">
        <v>800</v>
      </c>
      <c r="N11" s="64">
        <f t="shared" si="2"/>
        <v>1</v>
      </c>
      <c r="O11" s="63">
        <v>1000</v>
      </c>
      <c r="P11" s="65">
        <f t="shared" si="3"/>
        <v>0</v>
      </c>
      <c r="Q11" s="62">
        <v>1</v>
      </c>
      <c r="R11" s="63">
        <v>800</v>
      </c>
      <c r="S11" s="64">
        <f t="shared" si="4"/>
        <v>1</v>
      </c>
      <c r="T11" s="63">
        <v>1000</v>
      </c>
      <c r="U11" s="2">
        <f t="shared" si="5"/>
        <v>0</v>
      </c>
      <c r="V11" s="11" t="str">
        <f t="shared" si="6"/>
        <v>-</v>
      </c>
      <c r="W11" s="14"/>
      <c r="X11" s="14"/>
      <c r="Y11" s="14"/>
      <c r="Z11" s="14"/>
      <c r="AA11" t="b">
        <f t="shared" si="7"/>
        <v>0</v>
      </c>
      <c r="AB11" t="b">
        <f t="shared" si="8"/>
        <v>1</v>
      </c>
      <c r="AC11" t="b">
        <f t="shared" si="9"/>
        <v>0</v>
      </c>
      <c r="AD11" t="b">
        <f t="shared" si="10"/>
        <v>0</v>
      </c>
      <c r="AE11" t="b">
        <f t="shared" ref="AE11:AE22" si="13">AND(AA11,AB11,AC11,AD11,B11+G11+L11+Q11&gt;0)</f>
        <v>0</v>
      </c>
    </row>
    <row r="12" spans="1:31" x14ac:dyDescent="0.25">
      <c r="A12" s="5">
        <v>6</v>
      </c>
      <c r="B12" s="62">
        <v>0</v>
      </c>
      <c r="C12" s="63">
        <v>1000</v>
      </c>
      <c r="D12" s="64">
        <f t="shared" si="11"/>
        <v>1</v>
      </c>
      <c r="E12" s="63">
        <v>1200</v>
      </c>
      <c r="F12" s="65">
        <f t="shared" si="12"/>
        <v>1</v>
      </c>
      <c r="G12" s="62">
        <v>1</v>
      </c>
      <c r="H12" s="63">
        <v>1000</v>
      </c>
      <c r="I12" s="64">
        <f t="shared" si="0"/>
        <v>0</v>
      </c>
      <c r="J12" s="63">
        <v>1200</v>
      </c>
      <c r="K12" s="65">
        <f t="shared" si="1"/>
        <v>1</v>
      </c>
      <c r="L12" s="62">
        <v>1</v>
      </c>
      <c r="M12" s="63">
        <v>1000</v>
      </c>
      <c r="N12" s="64">
        <f t="shared" si="2"/>
        <v>1</v>
      </c>
      <c r="O12" s="63">
        <v>1200</v>
      </c>
      <c r="P12" s="65">
        <f t="shared" si="3"/>
        <v>1</v>
      </c>
      <c r="Q12" s="62">
        <v>1</v>
      </c>
      <c r="R12" s="63">
        <v>1000</v>
      </c>
      <c r="S12" s="64">
        <f t="shared" si="4"/>
        <v>1</v>
      </c>
      <c r="T12" s="63">
        <v>2000</v>
      </c>
      <c r="U12" s="2">
        <f t="shared" si="5"/>
        <v>1</v>
      </c>
      <c r="V12" s="11" t="str">
        <f>IF(B12+G12+L12+Q12=0,"-",IF(AND(AA12,AB12,AC12,AD12),A12,"-"))</f>
        <v>-</v>
      </c>
      <c r="W12" s="14"/>
      <c r="X12" s="14"/>
      <c r="Y12" s="14"/>
      <c r="Z12" s="14"/>
      <c r="AA12" t="b">
        <f>IF(B12=1,AND(D12,F12),TRUE)</f>
        <v>1</v>
      </c>
      <c r="AB12" t="b">
        <f>IF(G12=1,AND(I12,K12),TRUE)</f>
        <v>0</v>
      </c>
      <c r="AC12" t="b">
        <f>IF(L12=1,AND(N12,P12),TRUE)</f>
        <v>1</v>
      </c>
      <c r="AD12" t="b">
        <f>IF(Q12=1,AND(S12,U12),TRUE)</f>
        <v>1</v>
      </c>
      <c r="AE12" t="b">
        <f t="shared" si="13"/>
        <v>0</v>
      </c>
    </row>
    <row r="13" spans="1:31" x14ac:dyDescent="0.25">
      <c r="A13" s="5">
        <v>7</v>
      </c>
      <c r="B13" s="62">
        <v>1</v>
      </c>
      <c r="C13" s="63">
        <v>0</v>
      </c>
      <c r="D13" s="64">
        <f t="shared" si="11"/>
        <v>1</v>
      </c>
      <c r="E13" s="63">
        <v>0</v>
      </c>
      <c r="F13" s="65">
        <f t="shared" si="12"/>
        <v>0</v>
      </c>
      <c r="G13" s="62">
        <v>1</v>
      </c>
      <c r="H13" s="63">
        <v>0</v>
      </c>
      <c r="I13" s="64">
        <f t="shared" si="0"/>
        <v>1</v>
      </c>
      <c r="J13" s="63">
        <v>0</v>
      </c>
      <c r="K13" s="65">
        <f t="shared" si="1"/>
        <v>0</v>
      </c>
      <c r="L13" s="62">
        <v>1</v>
      </c>
      <c r="M13" s="63">
        <v>0</v>
      </c>
      <c r="N13" s="64">
        <f t="shared" si="2"/>
        <v>1</v>
      </c>
      <c r="O13" s="63">
        <v>0</v>
      </c>
      <c r="P13" s="65">
        <f t="shared" si="3"/>
        <v>0</v>
      </c>
      <c r="Q13" s="62">
        <v>1</v>
      </c>
      <c r="R13" s="63">
        <v>0</v>
      </c>
      <c r="S13" s="64">
        <f t="shared" si="4"/>
        <v>1</v>
      </c>
      <c r="T13" s="63">
        <v>0</v>
      </c>
      <c r="U13" s="2">
        <f t="shared" si="5"/>
        <v>0</v>
      </c>
      <c r="V13" s="11" t="str">
        <f t="shared" ref="V13:V22" si="14">IF(B13+G13+L13+Q13=0,"-",IF(AND(AA13,AB13,AC13,AD13),A13,"-"))</f>
        <v>-</v>
      </c>
      <c r="W13" s="14"/>
      <c r="X13" s="14"/>
      <c r="Y13" s="14"/>
      <c r="Z13" s="14"/>
      <c r="AA13" t="b">
        <f t="shared" ref="AA13:AA22" si="15">IF(B13=1,AND(D13,F13),TRUE)</f>
        <v>0</v>
      </c>
      <c r="AB13" t="b">
        <f t="shared" ref="AB13:AB22" si="16">IF(G13=1,AND(I13,K13),TRUE)</f>
        <v>0</v>
      </c>
      <c r="AC13" t="b">
        <f t="shared" ref="AC13:AC22" si="17">IF(L13=1,AND(N13,P13),TRUE)</f>
        <v>0</v>
      </c>
      <c r="AD13" t="b">
        <f t="shared" ref="AD13:AD22" si="18">IF(Q13=1,AND(S13,U13),TRUE)</f>
        <v>0</v>
      </c>
      <c r="AE13" t="b">
        <f t="shared" si="13"/>
        <v>0</v>
      </c>
    </row>
    <row r="14" spans="1:31" x14ac:dyDescent="0.25">
      <c r="A14" s="5">
        <v>8</v>
      </c>
      <c r="B14" s="62">
        <v>1</v>
      </c>
      <c r="C14" s="63">
        <v>0</v>
      </c>
      <c r="D14" s="64">
        <f t="shared" si="11"/>
        <v>1</v>
      </c>
      <c r="E14" s="63">
        <v>0</v>
      </c>
      <c r="F14" s="65">
        <f t="shared" si="12"/>
        <v>0</v>
      </c>
      <c r="G14" s="62">
        <v>1</v>
      </c>
      <c r="H14" s="63">
        <v>0</v>
      </c>
      <c r="I14" s="64">
        <f t="shared" si="0"/>
        <v>1</v>
      </c>
      <c r="J14" s="63">
        <v>0</v>
      </c>
      <c r="K14" s="65">
        <f t="shared" si="1"/>
        <v>0</v>
      </c>
      <c r="L14" s="62">
        <v>1</v>
      </c>
      <c r="M14" s="63">
        <v>0</v>
      </c>
      <c r="N14" s="64">
        <f t="shared" si="2"/>
        <v>1</v>
      </c>
      <c r="O14" s="63">
        <v>0</v>
      </c>
      <c r="P14" s="65">
        <f t="shared" si="3"/>
        <v>0</v>
      </c>
      <c r="Q14" s="62">
        <v>1</v>
      </c>
      <c r="R14" s="63">
        <v>0</v>
      </c>
      <c r="S14" s="64">
        <f t="shared" si="4"/>
        <v>1</v>
      </c>
      <c r="T14" s="63">
        <v>0</v>
      </c>
      <c r="U14" s="2">
        <f t="shared" si="5"/>
        <v>0</v>
      </c>
      <c r="V14" s="11" t="str">
        <f t="shared" si="14"/>
        <v>-</v>
      </c>
      <c r="W14" s="14"/>
      <c r="X14" s="14"/>
      <c r="Y14" s="14"/>
      <c r="Z14" s="14"/>
      <c r="AA14" t="b">
        <f t="shared" si="15"/>
        <v>0</v>
      </c>
      <c r="AB14" t="b">
        <f t="shared" si="16"/>
        <v>0</v>
      </c>
      <c r="AC14" t="b">
        <f t="shared" si="17"/>
        <v>0</v>
      </c>
      <c r="AD14" t="b">
        <f t="shared" si="18"/>
        <v>0</v>
      </c>
      <c r="AE14" t="b">
        <f t="shared" si="13"/>
        <v>0</v>
      </c>
    </row>
    <row r="15" spans="1:31" x14ac:dyDescent="0.25">
      <c r="A15" s="5">
        <v>9</v>
      </c>
      <c r="B15" s="62">
        <v>1</v>
      </c>
      <c r="C15" s="63">
        <v>0</v>
      </c>
      <c r="D15" s="64">
        <f t="shared" si="11"/>
        <v>1</v>
      </c>
      <c r="E15" s="63">
        <v>0</v>
      </c>
      <c r="F15" s="65">
        <f t="shared" si="12"/>
        <v>0</v>
      </c>
      <c r="G15" s="62">
        <v>1</v>
      </c>
      <c r="H15" s="63">
        <v>0</v>
      </c>
      <c r="I15" s="64">
        <f t="shared" si="0"/>
        <v>1</v>
      </c>
      <c r="J15" s="63">
        <v>0</v>
      </c>
      <c r="K15" s="65">
        <f t="shared" si="1"/>
        <v>0</v>
      </c>
      <c r="L15" s="62">
        <v>1</v>
      </c>
      <c r="M15" s="63">
        <v>0</v>
      </c>
      <c r="N15" s="64">
        <f t="shared" si="2"/>
        <v>1</v>
      </c>
      <c r="O15" s="63">
        <v>0</v>
      </c>
      <c r="P15" s="65">
        <f t="shared" si="3"/>
        <v>0</v>
      </c>
      <c r="Q15" s="62">
        <v>1</v>
      </c>
      <c r="R15" s="63">
        <v>0</v>
      </c>
      <c r="S15" s="64">
        <f t="shared" si="4"/>
        <v>1</v>
      </c>
      <c r="T15" s="63">
        <v>0</v>
      </c>
      <c r="U15" s="2">
        <f t="shared" si="5"/>
        <v>0</v>
      </c>
      <c r="V15" s="11" t="str">
        <f t="shared" si="14"/>
        <v>-</v>
      </c>
      <c r="W15" s="14"/>
      <c r="X15" s="14"/>
      <c r="Y15" s="14"/>
      <c r="Z15" s="14"/>
      <c r="AA15" t="b">
        <f t="shared" si="15"/>
        <v>0</v>
      </c>
      <c r="AB15" t="b">
        <f t="shared" si="16"/>
        <v>0</v>
      </c>
      <c r="AC15" t="b">
        <f t="shared" si="17"/>
        <v>0</v>
      </c>
      <c r="AD15" t="b">
        <f t="shared" si="18"/>
        <v>0</v>
      </c>
      <c r="AE15" t="b">
        <f t="shared" si="13"/>
        <v>0</v>
      </c>
    </row>
    <row r="16" spans="1:31" x14ac:dyDescent="0.25">
      <c r="A16" s="5">
        <v>10</v>
      </c>
      <c r="B16" s="62">
        <v>0</v>
      </c>
      <c r="C16" s="63">
        <v>0</v>
      </c>
      <c r="D16" s="64">
        <f t="shared" si="11"/>
        <v>1</v>
      </c>
      <c r="E16" s="63">
        <v>0</v>
      </c>
      <c r="F16" s="65">
        <f t="shared" si="12"/>
        <v>0</v>
      </c>
      <c r="G16" s="62">
        <v>0</v>
      </c>
      <c r="H16" s="63">
        <v>0</v>
      </c>
      <c r="I16" s="64">
        <f t="shared" si="0"/>
        <v>1</v>
      </c>
      <c r="J16" s="63">
        <v>0</v>
      </c>
      <c r="K16" s="65">
        <f t="shared" si="1"/>
        <v>0</v>
      </c>
      <c r="L16" s="62">
        <v>0</v>
      </c>
      <c r="M16" s="63">
        <v>0</v>
      </c>
      <c r="N16" s="64">
        <f t="shared" si="2"/>
        <v>1</v>
      </c>
      <c r="O16" s="63">
        <v>0</v>
      </c>
      <c r="P16" s="65">
        <f t="shared" si="3"/>
        <v>0</v>
      </c>
      <c r="Q16" s="62">
        <v>1</v>
      </c>
      <c r="R16" s="63">
        <v>0</v>
      </c>
      <c r="S16" s="64">
        <f t="shared" si="4"/>
        <v>1</v>
      </c>
      <c r="T16" s="63">
        <v>1111</v>
      </c>
      <c r="U16" s="2">
        <f t="shared" si="5"/>
        <v>1</v>
      </c>
      <c r="V16" s="11">
        <f t="shared" si="14"/>
        <v>10</v>
      </c>
      <c r="W16" s="14"/>
      <c r="X16" s="14"/>
      <c r="Y16" s="14"/>
      <c r="Z16" s="14"/>
      <c r="AA16" t="b">
        <f t="shared" si="15"/>
        <v>1</v>
      </c>
      <c r="AB16" t="b">
        <f t="shared" si="16"/>
        <v>1</v>
      </c>
      <c r="AC16" t="b">
        <f t="shared" si="17"/>
        <v>1</v>
      </c>
      <c r="AD16" t="b">
        <f t="shared" si="18"/>
        <v>1</v>
      </c>
      <c r="AE16" t="b">
        <f t="shared" si="13"/>
        <v>1</v>
      </c>
    </row>
    <row r="17" spans="1:31" x14ac:dyDescent="0.25">
      <c r="A17" s="5">
        <v>11</v>
      </c>
      <c r="B17" s="62">
        <v>1</v>
      </c>
      <c r="C17" s="63">
        <v>0</v>
      </c>
      <c r="D17" s="64">
        <f t="shared" si="11"/>
        <v>1</v>
      </c>
      <c r="E17" s="63">
        <v>0</v>
      </c>
      <c r="F17" s="65">
        <f t="shared" si="12"/>
        <v>0</v>
      </c>
      <c r="G17" s="62">
        <v>1</v>
      </c>
      <c r="H17" s="63">
        <v>0</v>
      </c>
      <c r="I17" s="64">
        <f t="shared" si="0"/>
        <v>1</v>
      </c>
      <c r="J17" s="63">
        <v>0</v>
      </c>
      <c r="K17" s="65">
        <f t="shared" si="1"/>
        <v>0</v>
      </c>
      <c r="L17" s="62">
        <v>1</v>
      </c>
      <c r="M17" s="63">
        <v>0</v>
      </c>
      <c r="N17" s="64">
        <f t="shared" si="2"/>
        <v>1</v>
      </c>
      <c r="O17" s="63">
        <v>0</v>
      </c>
      <c r="P17" s="65">
        <f t="shared" si="3"/>
        <v>0</v>
      </c>
      <c r="Q17" s="62">
        <v>1</v>
      </c>
      <c r="R17" s="63">
        <v>0</v>
      </c>
      <c r="S17" s="64">
        <f t="shared" si="4"/>
        <v>1</v>
      </c>
      <c r="T17" s="63">
        <v>0</v>
      </c>
      <c r="U17" s="2">
        <f t="shared" si="5"/>
        <v>0</v>
      </c>
      <c r="V17" s="11" t="str">
        <f t="shared" si="14"/>
        <v>-</v>
      </c>
      <c r="W17" s="14"/>
      <c r="X17" s="14"/>
      <c r="Y17" s="14"/>
      <c r="Z17" s="14"/>
      <c r="AA17" t="b">
        <f t="shared" si="15"/>
        <v>0</v>
      </c>
      <c r="AB17" t="b">
        <f t="shared" si="16"/>
        <v>0</v>
      </c>
      <c r="AC17" t="b">
        <f t="shared" si="17"/>
        <v>0</v>
      </c>
      <c r="AD17" t="b">
        <f t="shared" si="18"/>
        <v>0</v>
      </c>
      <c r="AE17" t="b">
        <f t="shared" si="13"/>
        <v>0</v>
      </c>
    </row>
    <row r="18" spans="1:31" x14ac:dyDescent="0.25">
      <c r="A18" s="5">
        <v>12</v>
      </c>
      <c r="B18" s="62">
        <v>1</v>
      </c>
      <c r="C18" s="63">
        <v>0</v>
      </c>
      <c r="D18" s="64">
        <f t="shared" si="11"/>
        <v>1</v>
      </c>
      <c r="E18" s="63">
        <v>0</v>
      </c>
      <c r="F18" s="65">
        <f t="shared" si="12"/>
        <v>0</v>
      </c>
      <c r="G18" s="62">
        <v>1</v>
      </c>
      <c r="H18" s="63">
        <v>0</v>
      </c>
      <c r="I18" s="64">
        <f t="shared" si="0"/>
        <v>1</v>
      </c>
      <c r="J18" s="63">
        <v>0</v>
      </c>
      <c r="K18" s="65">
        <f t="shared" si="1"/>
        <v>0</v>
      </c>
      <c r="L18" s="62">
        <v>1</v>
      </c>
      <c r="M18" s="63">
        <v>0</v>
      </c>
      <c r="N18" s="64">
        <f t="shared" si="2"/>
        <v>1</v>
      </c>
      <c r="O18" s="63">
        <v>0</v>
      </c>
      <c r="P18" s="65">
        <f t="shared" si="3"/>
        <v>0</v>
      </c>
      <c r="Q18" s="62">
        <v>1</v>
      </c>
      <c r="R18" s="63">
        <v>0</v>
      </c>
      <c r="S18" s="64">
        <f t="shared" si="4"/>
        <v>1</v>
      </c>
      <c r="T18" s="63">
        <v>0</v>
      </c>
      <c r="U18" s="2">
        <f t="shared" si="5"/>
        <v>0</v>
      </c>
      <c r="V18" s="11" t="str">
        <f t="shared" si="14"/>
        <v>-</v>
      </c>
      <c r="W18" s="14"/>
      <c r="X18" s="14"/>
      <c r="Y18" s="14"/>
      <c r="Z18" s="14"/>
      <c r="AA18" t="b">
        <f t="shared" si="15"/>
        <v>0</v>
      </c>
      <c r="AB18" t="b">
        <f t="shared" si="16"/>
        <v>0</v>
      </c>
      <c r="AC18" t="b">
        <f t="shared" si="17"/>
        <v>0</v>
      </c>
      <c r="AD18" t="b">
        <f t="shared" si="18"/>
        <v>0</v>
      </c>
      <c r="AE18" t="b">
        <f t="shared" si="13"/>
        <v>0</v>
      </c>
    </row>
    <row r="19" spans="1:31" x14ac:dyDescent="0.25">
      <c r="A19" s="5">
        <v>13</v>
      </c>
      <c r="B19" s="62">
        <v>1</v>
      </c>
      <c r="C19" s="63">
        <v>0</v>
      </c>
      <c r="D19" s="64">
        <f t="shared" si="11"/>
        <v>1</v>
      </c>
      <c r="E19" s="63">
        <v>0</v>
      </c>
      <c r="F19" s="65">
        <f t="shared" si="12"/>
        <v>0</v>
      </c>
      <c r="G19" s="62">
        <v>1</v>
      </c>
      <c r="H19" s="63">
        <v>0</v>
      </c>
      <c r="I19" s="64">
        <f t="shared" si="0"/>
        <v>1</v>
      </c>
      <c r="J19" s="63">
        <v>0</v>
      </c>
      <c r="K19" s="65">
        <f t="shared" si="1"/>
        <v>0</v>
      </c>
      <c r="L19" s="62">
        <v>1</v>
      </c>
      <c r="M19" s="63">
        <v>0</v>
      </c>
      <c r="N19" s="64">
        <f t="shared" si="2"/>
        <v>1</v>
      </c>
      <c r="O19" s="63">
        <v>0</v>
      </c>
      <c r="P19" s="65">
        <f t="shared" si="3"/>
        <v>0</v>
      </c>
      <c r="Q19" s="62">
        <v>1</v>
      </c>
      <c r="R19" s="63">
        <v>0</v>
      </c>
      <c r="S19" s="64">
        <f t="shared" si="4"/>
        <v>1</v>
      </c>
      <c r="T19" s="63">
        <v>0</v>
      </c>
      <c r="U19" s="2">
        <f t="shared" si="5"/>
        <v>0</v>
      </c>
      <c r="V19" s="11" t="str">
        <f t="shared" si="14"/>
        <v>-</v>
      </c>
      <c r="W19" s="14"/>
      <c r="X19" s="14"/>
      <c r="Y19" s="14"/>
      <c r="Z19" s="14"/>
      <c r="AA19" t="b">
        <f t="shared" si="15"/>
        <v>0</v>
      </c>
      <c r="AB19" t="b">
        <f t="shared" si="16"/>
        <v>0</v>
      </c>
      <c r="AC19" t="b">
        <f t="shared" si="17"/>
        <v>0</v>
      </c>
      <c r="AD19" t="b">
        <f t="shared" si="18"/>
        <v>0</v>
      </c>
      <c r="AE19" t="b">
        <f t="shared" si="13"/>
        <v>0</v>
      </c>
    </row>
    <row r="20" spans="1:31" x14ac:dyDescent="0.25">
      <c r="A20" s="5">
        <v>14</v>
      </c>
      <c r="B20" s="62">
        <v>1</v>
      </c>
      <c r="C20" s="63">
        <v>900</v>
      </c>
      <c r="D20" s="64">
        <f t="shared" si="11"/>
        <v>1</v>
      </c>
      <c r="E20" s="63">
        <v>2000</v>
      </c>
      <c r="F20" s="65">
        <f t="shared" si="12"/>
        <v>1</v>
      </c>
      <c r="G20" s="62">
        <v>1</v>
      </c>
      <c r="H20" s="63">
        <v>900</v>
      </c>
      <c r="I20" s="64">
        <f t="shared" si="0"/>
        <v>1</v>
      </c>
      <c r="J20" s="63">
        <v>2000</v>
      </c>
      <c r="K20" s="65">
        <f t="shared" si="1"/>
        <v>1</v>
      </c>
      <c r="L20" s="62">
        <v>1</v>
      </c>
      <c r="M20" s="63">
        <v>900</v>
      </c>
      <c r="N20" s="64">
        <f t="shared" si="2"/>
        <v>1</v>
      </c>
      <c r="O20" s="63">
        <v>3000</v>
      </c>
      <c r="P20" s="65">
        <f t="shared" si="3"/>
        <v>1</v>
      </c>
      <c r="Q20" s="62">
        <v>1</v>
      </c>
      <c r="R20" s="63">
        <v>900</v>
      </c>
      <c r="S20" s="64">
        <f t="shared" si="4"/>
        <v>1</v>
      </c>
      <c r="T20" s="63">
        <v>2000</v>
      </c>
      <c r="U20" s="2">
        <f t="shared" si="5"/>
        <v>1</v>
      </c>
      <c r="V20" s="11">
        <f t="shared" si="14"/>
        <v>14</v>
      </c>
      <c r="W20" s="14"/>
      <c r="X20" s="14"/>
      <c r="Y20" s="14"/>
      <c r="Z20" s="14"/>
      <c r="AA20" t="b">
        <f t="shared" si="15"/>
        <v>1</v>
      </c>
      <c r="AB20" t="b">
        <f t="shared" si="16"/>
        <v>1</v>
      </c>
      <c r="AC20" t="b">
        <f t="shared" si="17"/>
        <v>1</v>
      </c>
      <c r="AD20" t="b">
        <f t="shared" si="18"/>
        <v>1</v>
      </c>
      <c r="AE20" t="b">
        <f t="shared" si="13"/>
        <v>1</v>
      </c>
    </row>
    <row r="21" spans="1:31" x14ac:dyDescent="0.25">
      <c r="A21" s="5">
        <v>15</v>
      </c>
      <c r="B21" s="62">
        <v>1</v>
      </c>
      <c r="C21" s="63">
        <v>0</v>
      </c>
      <c r="D21" s="64">
        <f t="shared" si="11"/>
        <v>1</v>
      </c>
      <c r="E21" s="63">
        <v>0</v>
      </c>
      <c r="F21" s="65">
        <f t="shared" si="12"/>
        <v>0</v>
      </c>
      <c r="G21" s="62">
        <v>1</v>
      </c>
      <c r="H21" s="63">
        <v>0</v>
      </c>
      <c r="I21" s="64">
        <f t="shared" si="0"/>
        <v>1</v>
      </c>
      <c r="J21" s="63">
        <v>0</v>
      </c>
      <c r="K21" s="65">
        <f t="shared" si="1"/>
        <v>0</v>
      </c>
      <c r="L21" s="62">
        <v>1</v>
      </c>
      <c r="M21" s="63">
        <v>0</v>
      </c>
      <c r="N21" s="64">
        <f t="shared" si="2"/>
        <v>1</v>
      </c>
      <c r="O21" s="63">
        <v>0</v>
      </c>
      <c r="P21" s="65">
        <f t="shared" si="3"/>
        <v>0</v>
      </c>
      <c r="Q21" s="62">
        <v>1</v>
      </c>
      <c r="R21" s="63">
        <v>0</v>
      </c>
      <c r="S21" s="64">
        <f t="shared" si="4"/>
        <v>1</v>
      </c>
      <c r="T21" s="63">
        <v>0</v>
      </c>
      <c r="U21" s="2">
        <f t="shared" si="5"/>
        <v>0</v>
      </c>
      <c r="V21" s="11" t="str">
        <f t="shared" si="14"/>
        <v>-</v>
      </c>
      <c r="W21" s="14"/>
      <c r="X21" s="14"/>
      <c r="Y21" s="14"/>
      <c r="Z21" s="14"/>
      <c r="AA21" t="b">
        <f t="shared" si="15"/>
        <v>0</v>
      </c>
      <c r="AB21" t="b">
        <f t="shared" si="16"/>
        <v>0</v>
      </c>
      <c r="AC21" t="b">
        <f t="shared" si="17"/>
        <v>0</v>
      </c>
      <c r="AD21" t="b">
        <f t="shared" si="18"/>
        <v>0</v>
      </c>
      <c r="AE21" t="b">
        <f t="shared" si="13"/>
        <v>0</v>
      </c>
    </row>
    <row r="22" spans="1:31" x14ac:dyDescent="0.25">
      <c r="A22" s="6">
        <v>16</v>
      </c>
      <c r="B22" s="66">
        <v>0</v>
      </c>
      <c r="C22" s="67">
        <v>0</v>
      </c>
      <c r="D22" s="68">
        <f t="shared" si="11"/>
        <v>1</v>
      </c>
      <c r="E22" s="67">
        <v>0</v>
      </c>
      <c r="F22" s="69">
        <f t="shared" si="12"/>
        <v>0</v>
      </c>
      <c r="G22" s="66">
        <v>0</v>
      </c>
      <c r="H22" s="67">
        <v>0</v>
      </c>
      <c r="I22" s="68">
        <f t="shared" si="0"/>
        <v>1</v>
      </c>
      <c r="J22" s="67">
        <v>0</v>
      </c>
      <c r="K22" s="69">
        <f t="shared" si="1"/>
        <v>0</v>
      </c>
      <c r="L22" s="66">
        <v>0</v>
      </c>
      <c r="M22" s="67">
        <v>0</v>
      </c>
      <c r="N22" s="68">
        <f t="shared" si="2"/>
        <v>1</v>
      </c>
      <c r="O22" s="67">
        <v>0</v>
      </c>
      <c r="P22" s="69">
        <f t="shared" si="3"/>
        <v>0</v>
      </c>
      <c r="Q22" s="66">
        <v>0</v>
      </c>
      <c r="R22" s="67">
        <v>0</v>
      </c>
      <c r="S22" s="68">
        <f t="shared" si="4"/>
        <v>1</v>
      </c>
      <c r="T22" s="67">
        <v>0</v>
      </c>
      <c r="U22" s="3">
        <f t="shared" si="5"/>
        <v>0</v>
      </c>
      <c r="V22" s="11" t="str">
        <f t="shared" si="14"/>
        <v>-</v>
      </c>
      <c r="W22" s="14"/>
      <c r="X22" s="14"/>
      <c r="Y22" s="14"/>
      <c r="Z22" s="14"/>
      <c r="AA22" t="b">
        <f t="shared" si="15"/>
        <v>1</v>
      </c>
      <c r="AB22" t="b">
        <f t="shared" si="16"/>
        <v>1</v>
      </c>
      <c r="AC22" t="b">
        <f t="shared" si="17"/>
        <v>1</v>
      </c>
      <c r="AD22" t="b">
        <f t="shared" si="18"/>
        <v>1</v>
      </c>
      <c r="AE22" t="b">
        <f t="shared" si="13"/>
        <v>0</v>
      </c>
    </row>
    <row r="23" spans="1:31" x14ac:dyDescent="0.25">
      <c r="A23" s="14" t="s">
        <v>16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31" x14ac:dyDescent="0.25">
      <c r="A24" s="14"/>
      <c r="B24" s="14"/>
      <c r="C24" s="44">
        <f>IF($A$28=1,C$39,E$38)</f>
        <v>1046</v>
      </c>
      <c r="D24" s="44"/>
      <c r="E24" s="44"/>
      <c r="F24" s="44"/>
      <c r="G24" s="45"/>
      <c r="H24" s="37">
        <f>IF($A$28=1,H$39,J$38)</f>
        <v>948</v>
      </c>
      <c r="I24" s="38"/>
      <c r="J24" s="38"/>
      <c r="K24" s="39"/>
      <c r="L24" s="45"/>
      <c r="M24" s="37">
        <f>IF($A$28=1,M$39,O$38)</f>
        <v>1056</v>
      </c>
      <c r="N24" s="38"/>
      <c r="O24" s="38"/>
      <c r="P24" s="39"/>
      <c r="Q24" s="45"/>
      <c r="R24" s="37">
        <f>IF($A$28=1,R$39,T$38)</f>
        <v>1005</v>
      </c>
      <c r="S24" s="38"/>
      <c r="T24" s="38"/>
      <c r="U24" s="39"/>
      <c r="V24" s="46"/>
      <c r="W24" s="14"/>
      <c r="X24" s="14"/>
      <c r="Y24" s="14"/>
      <c r="Z24" s="14"/>
    </row>
    <row r="25" spans="1:31" x14ac:dyDescent="0.25">
      <c r="A25" s="13"/>
      <c r="B25" s="13"/>
      <c r="C25" s="14"/>
      <c r="D25" s="14"/>
      <c r="E25" s="14"/>
      <c r="F25" s="14"/>
      <c r="G25" s="13"/>
      <c r="H25" s="14"/>
      <c r="I25" s="14"/>
      <c r="J25" s="14"/>
      <c r="K25" s="14"/>
      <c r="L25" s="13"/>
      <c r="M25" s="14"/>
      <c r="N25" s="14"/>
      <c r="O25" s="14"/>
      <c r="P25" s="14"/>
      <c r="Q25" s="13"/>
      <c r="R25" s="14"/>
      <c r="S25" s="14"/>
      <c r="T25" s="14"/>
      <c r="U25" s="14"/>
      <c r="V25" s="14"/>
      <c r="W25" s="14"/>
      <c r="X25" s="14"/>
      <c r="Y25" s="14"/>
      <c r="Z25" s="14"/>
    </row>
    <row r="26" spans="1:31" x14ac:dyDescent="0.25">
      <c r="A26" s="14" t="s">
        <v>12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31" x14ac:dyDescent="0.25">
      <c r="A27" s="70">
        <v>3</v>
      </c>
      <c r="B27" s="15"/>
      <c r="C27" s="14" t="s">
        <v>11</v>
      </c>
      <c r="D27" s="14"/>
      <c r="E27" s="14"/>
      <c r="F27" s="14"/>
      <c r="G27" s="15"/>
      <c r="H27" s="14"/>
      <c r="I27" s="14"/>
      <c r="J27" s="14"/>
      <c r="K27" s="14"/>
      <c r="L27" s="15"/>
      <c r="M27" s="14"/>
      <c r="N27" s="14"/>
      <c r="O27" s="14"/>
      <c r="P27" s="14"/>
      <c r="Q27" s="15"/>
      <c r="R27" s="14"/>
      <c r="S27" s="14"/>
      <c r="T27" s="14"/>
      <c r="U27" s="14"/>
      <c r="V27" s="14"/>
      <c r="W27" s="14"/>
      <c r="X27" s="14"/>
      <c r="Y27" s="14"/>
      <c r="Z27" s="14"/>
    </row>
    <row r="28" spans="1:31" x14ac:dyDescent="0.25">
      <c r="A28" s="70">
        <v>1</v>
      </c>
      <c r="B28" s="15"/>
      <c r="C28" s="14" t="s">
        <v>6</v>
      </c>
      <c r="D28" s="14"/>
      <c r="E28" s="14"/>
      <c r="F28" s="14"/>
      <c r="G28" s="15"/>
      <c r="H28" s="14"/>
      <c r="I28" s="14"/>
      <c r="J28" s="14"/>
      <c r="K28" s="14"/>
      <c r="L28" s="15"/>
      <c r="M28" s="14"/>
      <c r="N28" s="14"/>
      <c r="O28" s="14"/>
      <c r="P28" s="14"/>
      <c r="Q28" s="15"/>
      <c r="R28" s="14"/>
      <c r="S28" s="14"/>
      <c r="T28" s="14"/>
      <c r="U28" s="14"/>
      <c r="V28" s="14"/>
      <c r="W28" s="14"/>
      <c r="X28" s="14"/>
      <c r="Y28" s="14"/>
      <c r="Z28" s="14"/>
    </row>
    <row r="29" spans="1:31" x14ac:dyDescent="0.25">
      <c r="A29" s="13"/>
      <c r="B29" s="13"/>
      <c r="C29" s="14"/>
      <c r="D29" s="14"/>
      <c r="E29" s="14"/>
      <c r="F29" s="14"/>
      <c r="G29" s="13"/>
      <c r="H29" s="14"/>
      <c r="I29" s="14"/>
      <c r="J29" s="14"/>
      <c r="K29" s="14"/>
      <c r="L29" s="13"/>
      <c r="M29" s="14"/>
      <c r="N29" s="14"/>
      <c r="O29" s="14"/>
      <c r="P29" s="14"/>
      <c r="Q29" s="13"/>
      <c r="R29" s="14"/>
      <c r="S29" s="14"/>
      <c r="T29" s="14"/>
      <c r="U29" s="14"/>
      <c r="V29" s="14"/>
      <c r="W29" s="14"/>
      <c r="X29" s="14"/>
      <c r="Y29" s="14"/>
      <c r="Z29" s="14"/>
    </row>
    <row r="30" spans="1:31" x14ac:dyDescent="0.25">
      <c r="A30" s="16" t="s">
        <v>14</v>
      </c>
      <c r="B30" s="47" t="s">
        <v>13</v>
      </c>
      <c r="C30" s="33"/>
      <c r="D30" s="33"/>
      <c r="E30" s="33"/>
      <c r="F30" s="34"/>
      <c r="G30" s="47" t="s">
        <v>15</v>
      </c>
      <c r="H30" s="33"/>
      <c r="I30" s="33"/>
      <c r="J30" s="33"/>
      <c r="K30" s="34"/>
      <c r="L30" s="47" t="s">
        <v>17</v>
      </c>
      <c r="M30" s="33"/>
      <c r="N30" s="33"/>
      <c r="O30" s="33"/>
      <c r="P30" s="34"/>
      <c r="Q30" s="31" t="s">
        <v>18</v>
      </c>
      <c r="R30" s="32"/>
      <c r="S30" s="33"/>
      <c r="T30" s="32"/>
      <c r="U30" s="34"/>
      <c r="V30" s="46"/>
      <c r="W30" s="14"/>
      <c r="X30" s="14"/>
      <c r="Y30" s="14"/>
      <c r="Z30" s="14"/>
    </row>
    <row r="31" spans="1:31" x14ac:dyDescent="0.25">
      <c r="A31" s="8">
        <v>0</v>
      </c>
      <c r="B31" s="21"/>
      <c r="C31" s="22"/>
      <c r="D31" s="48">
        <f>E31*7</f>
        <v>6923</v>
      </c>
      <c r="E31" s="71">
        <v>989</v>
      </c>
      <c r="F31" s="18">
        <f>E31</f>
        <v>989</v>
      </c>
      <c r="G31" s="21"/>
      <c r="H31" s="22"/>
      <c r="I31" s="48">
        <f>J31*7</f>
        <v>6307</v>
      </c>
      <c r="J31" s="71">
        <v>901</v>
      </c>
      <c r="K31" s="18">
        <f>J31</f>
        <v>901</v>
      </c>
      <c r="L31" s="21"/>
      <c r="M31" s="22"/>
      <c r="N31" s="48">
        <f>O31*7</f>
        <v>7224</v>
      </c>
      <c r="O31" s="71">
        <v>1032</v>
      </c>
      <c r="P31" s="18">
        <f>O31</f>
        <v>1032</v>
      </c>
      <c r="Q31" s="21"/>
      <c r="R31" s="22"/>
      <c r="S31" s="23">
        <f>T31*7</f>
        <v>6755</v>
      </c>
      <c r="T31" s="74">
        <v>965</v>
      </c>
      <c r="U31" s="18">
        <f>T31</f>
        <v>965</v>
      </c>
      <c r="V31" s="46"/>
      <c r="W31" s="14"/>
      <c r="X31" s="14"/>
      <c r="Y31" s="14"/>
      <c r="Z31" s="14"/>
    </row>
    <row r="32" spans="1:31" x14ac:dyDescent="0.25">
      <c r="A32" s="9">
        <v>-1</v>
      </c>
      <c r="B32" s="24"/>
      <c r="C32" s="25"/>
      <c r="D32" s="23">
        <f>E32*6</f>
        <v>5994</v>
      </c>
      <c r="E32" s="72">
        <v>999</v>
      </c>
      <c r="F32" s="17">
        <f>E32</f>
        <v>999</v>
      </c>
      <c r="G32" s="24"/>
      <c r="H32" s="25"/>
      <c r="I32" s="23">
        <f>J32*6</f>
        <v>5478</v>
      </c>
      <c r="J32" s="72">
        <v>913</v>
      </c>
      <c r="K32" s="17">
        <f>J32</f>
        <v>913</v>
      </c>
      <c r="L32" s="24"/>
      <c r="M32" s="25"/>
      <c r="N32" s="23">
        <f>O32*6</f>
        <v>6990</v>
      </c>
      <c r="O32" s="72">
        <v>1165</v>
      </c>
      <c r="P32" s="17">
        <f>O32</f>
        <v>1165</v>
      </c>
      <c r="Q32" s="24"/>
      <c r="R32" s="25"/>
      <c r="S32" s="23">
        <f>T32*6</f>
        <v>5646</v>
      </c>
      <c r="T32" s="75">
        <v>941</v>
      </c>
      <c r="U32" s="17">
        <f>T32</f>
        <v>941</v>
      </c>
      <c r="V32" s="46"/>
      <c r="W32" s="14"/>
      <c r="X32" s="14"/>
      <c r="Y32" s="14"/>
      <c r="Z32" s="14"/>
    </row>
    <row r="33" spans="1:26" x14ac:dyDescent="0.25">
      <c r="A33" s="9">
        <v>-2</v>
      </c>
      <c r="B33" s="24"/>
      <c r="C33" s="25"/>
      <c r="D33" s="23">
        <f>E33*5</f>
        <v>5925</v>
      </c>
      <c r="E33" s="72">
        <v>1185</v>
      </c>
      <c r="F33" s="17">
        <f>E33</f>
        <v>1185</v>
      </c>
      <c r="G33" s="24"/>
      <c r="H33" s="25"/>
      <c r="I33" s="23">
        <f>J33*5</f>
        <v>5295</v>
      </c>
      <c r="J33" s="72">
        <v>1059</v>
      </c>
      <c r="K33" s="17">
        <f>J33</f>
        <v>1059</v>
      </c>
      <c r="L33" s="24"/>
      <c r="M33" s="25"/>
      <c r="N33" s="23">
        <f>O33*5</f>
        <v>4800</v>
      </c>
      <c r="O33" s="72">
        <v>960</v>
      </c>
      <c r="P33" s="17">
        <f>O33</f>
        <v>960</v>
      </c>
      <c r="Q33" s="24"/>
      <c r="R33" s="25"/>
      <c r="S33" s="23">
        <f>T33*5</f>
        <v>5690</v>
      </c>
      <c r="T33" s="75">
        <v>1138</v>
      </c>
      <c r="U33" s="17">
        <f>T33</f>
        <v>1138</v>
      </c>
      <c r="V33" s="46"/>
      <c r="W33" s="14"/>
      <c r="X33" s="14"/>
      <c r="Y33" s="14"/>
      <c r="Z33" s="14"/>
    </row>
    <row r="34" spans="1:26" x14ac:dyDescent="0.25">
      <c r="A34" s="9">
        <v>-3</v>
      </c>
      <c r="B34" s="49"/>
      <c r="C34" s="25"/>
      <c r="D34" s="23">
        <f>IF($A$27&gt;3,E34*4,0)</f>
        <v>0</v>
      </c>
      <c r="E34" s="72">
        <v>947</v>
      </c>
      <c r="F34" s="17">
        <f>IF($A$27&gt;3,E34,0)</f>
        <v>0</v>
      </c>
      <c r="G34" s="51"/>
      <c r="H34" s="52"/>
      <c r="I34" s="52">
        <f>IF($A$27&gt;3,J34*4,0)</f>
        <v>0</v>
      </c>
      <c r="J34" s="72">
        <v>920</v>
      </c>
      <c r="K34" s="17">
        <f>IF($A$27&gt;3,J34,0)</f>
        <v>0</v>
      </c>
      <c r="L34" s="51"/>
      <c r="M34" s="52"/>
      <c r="N34" s="52">
        <f>IF($A$27&gt;3,O34*4,0)</f>
        <v>0</v>
      </c>
      <c r="O34" s="72">
        <v>1026</v>
      </c>
      <c r="P34" s="17">
        <f>IF($A$27&gt;3,O34,0)</f>
        <v>0</v>
      </c>
      <c r="Q34" s="51"/>
      <c r="R34" s="52"/>
      <c r="S34" s="52">
        <f>IF($A$27&gt;3,T34*4,0)</f>
        <v>0</v>
      </c>
      <c r="T34" s="75">
        <v>1141</v>
      </c>
      <c r="U34" s="17">
        <f>IF($A$27&gt;3,T34,0)</f>
        <v>0</v>
      </c>
      <c r="V34" s="46"/>
      <c r="W34" s="14"/>
      <c r="X34" s="14"/>
      <c r="Y34" s="14"/>
      <c r="Z34" s="14"/>
    </row>
    <row r="35" spans="1:26" x14ac:dyDescent="0.25">
      <c r="A35" s="9">
        <v>-4</v>
      </c>
      <c r="B35" s="49"/>
      <c r="C35" s="25"/>
      <c r="D35" s="23">
        <f>IF($A$27&gt;4,E35*3,0)</f>
        <v>0</v>
      </c>
      <c r="E35" s="72">
        <v>1039</v>
      </c>
      <c r="F35" s="17">
        <f>IF($A$27&gt;4,E35,0)</f>
        <v>0</v>
      </c>
      <c r="G35" s="49"/>
      <c r="H35" s="25"/>
      <c r="I35" s="25">
        <f>IF($A$27&gt;4,J35*3,0)</f>
        <v>0</v>
      </c>
      <c r="J35" s="72">
        <v>1108</v>
      </c>
      <c r="K35" s="17">
        <f>IF($A$27&gt;4,J35,0)</f>
        <v>0</v>
      </c>
      <c r="L35" s="49"/>
      <c r="M35" s="25"/>
      <c r="N35" s="25">
        <f>IF($A$27&gt;4,O35*3,0)</f>
        <v>0</v>
      </c>
      <c r="O35" s="72">
        <v>1071</v>
      </c>
      <c r="P35" s="17">
        <f>IF($A$27&gt;4,O35,0)</f>
        <v>0</v>
      </c>
      <c r="Q35" s="49"/>
      <c r="R35" s="25"/>
      <c r="S35" s="25">
        <f>IF($A$27&gt;4,T35*3,0)</f>
        <v>0</v>
      </c>
      <c r="T35" s="75">
        <v>1045</v>
      </c>
      <c r="U35" s="17">
        <f>IF($A$27&gt;4,T35,0)</f>
        <v>0</v>
      </c>
      <c r="V35" s="46"/>
      <c r="W35" s="14"/>
      <c r="X35" s="14"/>
      <c r="Y35" s="14"/>
      <c r="Z35" s="14"/>
    </row>
    <row r="36" spans="1:26" x14ac:dyDescent="0.25">
      <c r="A36" s="9">
        <v>-5</v>
      </c>
      <c r="B36" s="49"/>
      <c r="C36" s="25"/>
      <c r="D36" s="23">
        <f>IF($A$27&gt;5,E36*2,0)</f>
        <v>0</v>
      </c>
      <c r="E36" s="72">
        <v>946</v>
      </c>
      <c r="F36" s="17">
        <f>IF($A$27&gt;5,E36,0)</f>
        <v>0</v>
      </c>
      <c r="G36" s="49"/>
      <c r="H36" s="25"/>
      <c r="I36" s="25">
        <f>IF($A$27&gt;5,J36*2,0)</f>
        <v>0</v>
      </c>
      <c r="J36" s="72">
        <v>1083</v>
      </c>
      <c r="K36" s="17">
        <f>IF($A$27&gt;5,J36,0)</f>
        <v>0</v>
      </c>
      <c r="L36" s="49"/>
      <c r="M36" s="25"/>
      <c r="N36" s="25">
        <f>IF($A$27&gt;5,O36*2,0)</f>
        <v>0</v>
      </c>
      <c r="O36" s="72">
        <v>919</v>
      </c>
      <c r="P36" s="17">
        <f>IF($A$27&gt;5,O36,0)</f>
        <v>0</v>
      </c>
      <c r="Q36" s="49"/>
      <c r="R36" s="25"/>
      <c r="S36" s="25">
        <f>IF($A$27&gt;5,T36*2,0)</f>
        <v>0</v>
      </c>
      <c r="T36" s="75">
        <v>1026</v>
      </c>
      <c r="U36" s="17">
        <f>IF($A$27&gt;5,T36,0)</f>
        <v>0</v>
      </c>
      <c r="V36" s="46"/>
      <c r="W36" s="14"/>
      <c r="X36" s="14"/>
      <c r="Y36" s="14"/>
      <c r="Z36" s="14"/>
    </row>
    <row r="37" spans="1:26" x14ac:dyDescent="0.25">
      <c r="A37" s="10">
        <v>-6</v>
      </c>
      <c r="B37" s="50"/>
      <c r="C37" s="26"/>
      <c r="D37" s="27">
        <f>IF($A$27&gt;6,E37,0)</f>
        <v>0</v>
      </c>
      <c r="E37" s="73">
        <v>1184</v>
      </c>
      <c r="F37" s="19">
        <f>IF($A$27&gt;6,E37,0)</f>
        <v>0</v>
      </c>
      <c r="G37" s="50"/>
      <c r="H37" s="26"/>
      <c r="I37" s="26">
        <f>IF($A$27&gt;6,J37,0)</f>
        <v>0</v>
      </c>
      <c r="J37" s="73">
        <v>1061</v>
      </c>
      <c r="K37" s="19">
        <f>IF($A$27&gt;6,J37,0)</f>
        <v>0</v>
      </c>
      <c r="L37" s="50"/>
      <c r="M37" s="26"/>
      <c r="N37" s="26">
        <f>IF($A$27&gt;6,O37,0)</f>
        <v>0</v>
      </c>
      <c r="O37" s="73">
        <v>966</v>
      </c>
      <c r="P37" s="19">
        <f>IF($A$27&gt;6,O37,0)</f>
        <v>0</v>
      </c>
      <c r="Q37" s="50"/>
      <c r="R37" s="26"/>
      <c r="S37" s="26">
        <f>IF($A$27&gt;6,T37,0)</f>
        <v>0</v>
      </c>
      <c r="T37" s="76">
        <v>963</v>
      </c>
      <c r="U37" s="19">
        <f>IF($A$27&gt;6,T37,0)</f>
        <v>0</v>
      </c>
      <c r="V37" s="46"/>
      <c r="W37" s="14"/>
      <c r="X37" s="14"/>
      <c r="Y37" s="14"/>
      <c r="Z37" s="14"/>
    </row>
    <row r="38" spans="1:26" hidden="1" x14ac:dyDescent="0.25">
      <c r="C38" s="35">
        <f>18+IF($A$27&gt;3,4,0)+IF($A$27&gt;4,3,0)+IF($A$27&gt;5,2,0)+IF($A$27&gt;6,1,0)</f>
        <v>18</v>
      </c>
      <c r="D38" s="35"/>
      <c r="E38" s="36">
        <f>INT(SUM(F31:F37)/$A$27)</f>
        <v>1057</v>
      </c>
      <c r="F38" s="36"/>
      <c r="H38" s="35">
        <f>18+IF($A$27&gt;3,4,0)+IF($A$27&gt;4,3,0)+IF($A$27&gt;5,2,0)+IF($A$27&gt;6,1,0)</f>
        <v>18</v>
      </c>
      <c r="I38" s="35"/>
      <c r="J38" s="36">
        <f>INT(SUM(K31:K37)/$A$27)</f>
        <v>957</v>
      </c>
      <c r="K38" s="36"/>
      <c r="M38" s="35">
        <f>18+IF($A$27&gt;3,4,0)+IF($A$27&gt;4,3,0)+IF($A$27&gt;5,2,0)+IF($A$27&gt;6,1,0)</f>
        <v>18</v>
      </c>
      <c r="N38" s="35"/>
      <c r="O38" s="36">
        <f>INT(SUM(P31:P37)/$A$27)</f>
        <v>1052</v>
      </c>
      <c r="P38" s="36"/>
      <c r="R38" s="35">
        <f>18+IF($A$27&gt;3,4,0)+IF($A$27&gt;4,3,0)+IF($A$27&gt;5,2,0)+IF($A$27&gt;6,1,0)</f>
        <v>18</v>
      </c>
      <c r="S38" s="35"/>
      <c r="T38" s="36">
        <f>INT(SUM(U31:U37)/$A$27)</f>
        <v>1014</v>
      </c>
      <c r="U38" s="36"/>
      <c r="V38" s="14"/>
      <c r="W38" s="14"/>
      <c r="X38" s="14"/>
      <c r="Y38" s="14"/>
      <c r="Z38" s="14"/>
    </row>
    <row r="39" spans="1:26" hidden="1" x14ac:dyDescent="0.25">
      <c r="C39" s="30">
        <f>INT(SUM(D31:D37)/C$38)</f>
        <v>1046</v>
      </c>
      <c r="D39" s="30"/>
      <c r="F39" s="20"/>
      <c r="H39" s="30">
        <f>INT(SUM(I31:I37)/H$38)</f>
        <v>948</v>
      </c>
      <c r="I39" s="30"/>
      <c r="K39" s="20"/>
      <c r="M39" s="30">
        <f>INT(SUM(N31:N37)/M$38)</f>
        <v>1056</v>
      </c>
      <c r="N39" s="30"/>
      <c r="P39" s="20"/>
      <c r="R39" s="30">
        <f>INT(SUM(S31:S37)/R$38)</f>
        <v>1005</v>
      </c>
      <c r="S39" s="30"/>
      <c r="U39" s="20"/>
      <c r="V39" s="14"/>
      <c r="W39" s="14"/>
      <c r="X39" s="14"/>
      <c r="Y39" s="14"/>
      <c r="Z39" s="14"/>
    </row>
    <row r="40" spans="1:26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x14ac:dyDescent="0.25">
      <c r="A41" s="53"/>
      <c r="B41" s="53"/>
      <c r="C41" s="53"/>
      <c r="D41" s="53"/>
      <c r="E41" s="53"/>
      <c r="F41" s="53"/>
      <c r="G41" s="53"/>
      <c r="H41" s="56" t="s">
        <v>21</v>
      </c>
      <c r="I41" s="54"/>
      <c r="J41" s="77">
        <v>900</v>
      </c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x14ac:dyDescent="0.25">
      <c r="A42" s="53"/>
      <c r="B42" s="53"/>
      <c r="C42" s="53"/>
      <c r="D42" s="53"/>
      <c r="E42" s="53"/>
      <c r="F42" s="53"/>
      <c r="G42" s="53"/>
      <c r="H42" s="57" t="s">
        <v>22</v>
      </c>
      <c r="I42" s="55"/>
      <c r="J42" s="78">
        <v>1200</v>
      </c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</sheetData>
  <sheetProtection sheet="1" objects="1" scenarios="1" selectLockedCells="1"/>
  <mergeCells count="27">
    <mergeCell ref="L8:P8"/>
    <mergeCell ref="M24:P24"/>
    <mergeCell ref="A7:A9"/>
    <mergeCell ref="V7:V9"/>
    <mergeCell ref="C24:F24"/>
    <mergeCell ref="B7:U7"/>
    <mergeCell ref="G8:K8"/>
    <mergeCell ref="H24:K24"/>
    <mergeCell ref="G30:K30"/>
    <mergeCell ref="H38:I38"/>
    <mergeCell ref="B30:F30"/>
    <mergeCell ref="B8:F8"/>
    <mergeCell ref="J38:K38"/>
    <mergeCell ref="H39:I39"/>
    <mergeCell ref="E38:F38"/>
    <mergeCell ref="C39:D39"/>
    <mergeCell ref="C38:D38"/>
    <mergeCell ref="Q8:U8"/>
    <mergeCell ref="R24:U24"/>
    <mergeCell ref="Q30:U30"/>
    <mergeCell ref="R38:S38"/>
    <mergeCell ref="T38:U38"/>
    <mergeCell ref="R39:S39"/>
    <mergeCell ref="L30:P30"/>
    <mergeCell ref="M38:N38"/>
    <mergeCell ref="O38:P38"/>
    <mergeCell ref="M39:N39"/>
  </mergeCells>
  <conditionalFormatting sqref="C10">
    <cfRule type="expression" dxfId="61" priority="96">
      <formula>B10&lt;&gt;1</formula>
    </cfRule>
    <cfRule type="expression" dxfId="60" priority="101">
      <formula>D10&gt;0</formula>
    </cfRule>
  </conditionalFormatting>
  <conditionalFormatting sqref="E10">
    <cfRule type="expression" dxfId="59" priority="95">
      <formula>B10&lt;&gt;1</formula>
    </cfRule>
    <cfRule type="expression" dxfId="58" priority="100">
      <formula>F10&gt;0</formula>
    </cfRule>
  </conditionalFormatting>
  <conditionalFormatting sqref="C11:C22">
    <cfRule type="expression" dxfId="57" priority="79">
      <formula>B11&lt;&gt;1</formula>
    </cfRule>
    <cfRule type="expression" dxfId="56" priority="81">
      <formula>D11&gt;0</formula>
    </cfRule>
  </conditionalFormatting>
  <conditionalFormatting sqref="E11:E22">
    <cfRule type="expression" dxfId="55" priority="78">
      <formula>B11&lt;&gt;1</formula>
    </cfRule>
    <cfRule type="expression" dxfId="54" priority="80">
      <formula>F11&gt;0</formula>
    </cfRule>
  </conditionalFormatting>
  <conditionalFormatting sqref="H10">
    <cfRule type="expression" dxfId="53" priority="71">
      <formula>G10&lt;&gt;1</formula>
    </cfRule>
    <cfRule type="expression" dxfId="52" priority="73">
      <formula>I10&gt;0</formula>
    </cfRule>
  </conditionalFormatting>
  <conditionalFormatting sqref="J10">
    <cfRule type="expression" dxfId="51" priority="70">
      <formula>G10&lt;&gt;1</formula>
    </cfRule>
    <cfRule type="expression" dxfId="50" priority="72">
      <formula>K10&gt;0</formula>
    </cfRule>
  </conditionalFormatting>
  <conditionalFormatting sqref="H11:H22">
    <cfRule type="expression" dxfId="49" priority="63">
      <formula>G11&lt;&gt;1</formula>
    </cfRule>
    <cfRule type="expression" dxfId="48" priority="65">
      <formula>I11&gt;0</formula>
    </cfRule>
  </conditionalFormatting>
  <conditionalFormatting sqref="J11:J22">
    <cfRule type="expression" dxfId="47" priority="62">
      <formula>G11&lt;&gt;1</formula>
    </cfRule>
    <cfRule type="expression" dxfId="46" priority="64">
      <formula>K11&gt;0</formula>
    </cfRule>
  </conditionalFormatting>
  <conditionalFormatting sqref="D34:F34 I34:K34">
    <cfRule type="expression" dxfId="45" priority="102">
      <formula>$A$27&lt;4</formula>
    </cfRule>
  </conditionalFormatting>
  <conditionalFormatting sqref="D35:F35 I35:K35">
    <cfRule type="expression" dxfId="44" priority="103">
      <formula>$A$27&lt;5</formula>
    </cfRule>
  </conditionalFormatting>
  <conditionalFormatting sqref="D36:F36 I36:K36">
    <cfRule type="expression" dxfId="43" priority="104">
      <formula>$A$27&lt;6</formula>
    </cfRule>
  </conditionalFormatting>
  <conditionalFormatting sqref="D37:F37 I37:K37">
    <cfRule type="expression" dxfId="42" priority="105">
      <formula>$A$27&lt;7</formula>
    </cfRule>
  </conditionalFormatting>
  <conditionalFormatting sqref="M10">
    <cfRule type="expression" dxfId="41" priority="51">
      <formula>L10&lt;&gt;1</formula>
    </cfRule>
    <cfRule type="expression" dxfId="40" priority="53">
      <formula>N10&gt;0</formula>
    </cfRule>
  </conditionalFormatting>
  <conditionalFormatting sqref="O10">
    <cfRule type="expression" dxfId="39" priority="50">
      <formula>L10&lt;&gt;1</formula>
    </cfRule>
    <cfRule type="expression" dxfId="38" priority="52">
      <formula>P10&gt;0</formula>
    </cfRule>
  </conditionalFormatting>
  <conditionalFormatting sqref="M11:M22">
    <cfRule type="expression" dxfId="37" priority="47">
      <formula>L11&lt;&gt;1</formula>
    </cfRule>
    <cfRule type="expression" dxfId="36" priority="49">
      <formula>N11&gt;0</formula>
    </cfRule>
  </conditionalFormatting>
  <conditionalFormatting sqref="O11:O22">
    <cfRule type="expression" dxfId="35" priority="46">
      <formula>L11&lt;&gt;1</formula>
    </cfRule>
    <cfRule type="expression" dxfId="34" priority="48">
      <formula>P11&gt;0</formula>
    </cfRule>
  </conditionalFormatting>
  <conditionalFormatting sqref="N34:P34">
    <cfRule type="expression" dxfId="33" priority="54">
      <formula>$A$27&lt;4</formula>
    </cfRule>
  </conditionalFormatting>
  <conditionalFormatting sqref="N35:P35">
    <cfRule type="expression" dxfId="32" priority="55">
      <formula>$A$27&lt;5</formula>
    </cfRule>
  </conditionalFormatting>
  <conditionalFormatting sqref="N36:P36">
    <cfRule type="expression" dxfId="31" priority="56">
      <formula>$A$27&lt;6</formula>
    </cfRule>
  </conditionalFormatting>
  <conditionalFormatting sqref="N37:P37">
    <cfRule type="expression" dxfId="30" priority="57">
      <formula>$A$27&lt;7</formula>
    </cfRule>
  </conditionalFormatting>
  <conditionalFormatting sqref="R10">
    <cfRule type="expression" dxfId="29" priority="39">
      <formula>Q10&lt;&gt;1</formula>
    </cfRule>
    <cfRule type="expression" dxfId="28" priority="41">
      <formula>S10&gt;0</formula>
    </cfRule>
  </conditionalFormatting>
  <conditionalFormatting sqref="T10">
    <cfRule type="expression" dxfId="27" priority="38">
      <formula>Q10&lt;&gt;1</formula>
    </cfRule>
    <cfRule type="expression" dxfId="26" priority="40">
      <formula>U10&gt;0</formula>
    </cfRule>
  </conditionalFormatting>
  <conditionalFormatting sqref="R11:R22">
    <cfRule type="expression" dxfId="25" priority="35">
      <formula>Q11&lt;&gt;1</formula>
    </cfRule>
    <cfRule type="expression" dxfId="24" priority="37">
      <formula>S11&gt;0</formula>
    </cfRule>
  </conditionalFormatting>
  <conditionalFormatting sqref="T11:T22">
    <cfRule type="expression" dxfId="23" priority="34">
      <formula>Q11&lt;&gt;1</formula>
    </cfRule>
    <cfRule type="expression" dxfId="22" priority="36">
      <formula>U11&gt;0</formula>
    </cfRule>
  </conditionalFormatting>
  <conditionalFormatting sqref="S34:U34">
    <cfRule type="expression" dxfId="21" priority="42">
      <formula>$A$27&lt;4</formula>
    </cfRule>
  </conditionalFormatting>
  <conditionalFormatting sqref="S35:U35">
    <cfRule type="expression" dxfId="20" priority="43">
      <formula>$A$27&lt;5</formula>
    </cfRule>
  </conditionalFormatting>
  <conditionalFormatting sqref="S36:U36">
    <cfRule type="expression" dxfId="19" priority="44">
      <formula>$A$27&lt;6</formula>
    </cfRule>
  </conditionalFormatting>
  <conditionalFormatting sqref="S37:U37">
    <cfRule type="expression" dxfId="18" priority="45">
      <formula>$A$27&lt;7</formula>
    </cfRule>
  </conditionalFormatting>
  <conditionalFormatting sqref="B34:C34">
    <cfRule type="expression" dxfId="17" priority="17">
      <formula>$A$27&lt;4</formula>
    </cfRule>
  </conditionalFormatting>
  <conditionalFormatting sqref="B35:C35">
    <cfRule type="expression" dxfId="16" priority="18">
      <formula>$A$27&lt;5</formula>
    </cfRule>
  </conditionalFormatting>
  <conditionalFormatting sqref="B36:C36">
    <cfRule type="expression" dxfId="15" priority="19">
      <formula>$A$27&lt;6</formula>
    </cfRule>
  </conditionalFormatting>
  <conditionalFormatting sqref="B37:C37">
    <cfRule type="expression" dxfId="14" priority="20">
      <formula>$A$27&lt;7</formula>
    </cfRule>
  </conditionalFormatting>
  <conditionalFormatting sqref="G34:H34">
    <cfRule type="expression" dxfId="13" priority="13">
      <formula>$A$27&lt;4</formula>
    </cfRule>
  </conditionalFormatting>
  <conditionalFormatting sqref="G35:H35">
    <cfRule type="expression" dxfId="12" priority="14">
      <formula>$A$27&lt;5</formula>
    </cfRule>
  </conditionalFormatting>
  <conditionalFormatting sqref="G36:H36">
    <cfRule type="expression" dxfId="11" priority="15">
      <formula>$A$27&lt;6</formula>
    </cfRule>
  </conditionalFormatting>
  <conditionalFormatting sqref="G37:H37">
    <cfRule type="expression" dxfId="10" priority="16">
      <formula>$A$27&lt;7</formula>
    </cfRule>
  </conditionalFormatting>
  <conditionalFormatting sqref="L34:M34">
    <cfRule type="expression" dxfId="9" priority="9">
      <formula>$A$27&lt;4</formula>
    </cfRule>
  </conditionalFormatting>
  <conditionalFormatting sqref="L35:M35">
    <cfRule type="expression" dxfId="8" priority="10">
      <formula>$A$27&lt;5</formula>
    </cfRule>
  </conditionalFormatting>
  <conditionalFormatting sqref="L36:M36">
    <cfRule type="expression" dxfId="7" priority="11">
      <formula>$A$27&lt;6</formula>
    </cfRule>
  </conditionalFormatting>
  <conditionalFormatting sqref="L37:M37">
    <cfRule type="expression" dxfId="6" priority="12">
      <formula>$A$27&lt;7</formula>
    </cfRule>
  </conditionalFormatting>
  <conditionalFormatting sqref="Q34:R34">
    <cfRule type="expression" dxfId="5" priority="5">
      <formula>$A$27&lt;4</formula>
    </cfRule>
  </conditionalFormatting>
  <conditionalFormatting sqref="Q35:R35">
    <cfRule type="expression" dxfId="4" priority="6">
      <formula>$A$27&lt;5</formula>
    </cfRule>
  </conditionalFormatting>
  <conditionalFormatting sqref="Q36:R36">
    <cfRule type="expression" dxfId="3" priority="7">
      <formula>$A$27&lt;6</formula>
    </cfRule>
  </conditionalFormatting>
  <conditionalFormatting sqref="Q37:R37">
    <cfRule type="expression" dxfId="2" priority="8">
      <formula>$A$27&lt;7</formula>
    </cfRule>
  </conditionalFormatting>
  <conditionalFormatting sqref="V10">
    <cfRule type="expression" dxfId="1" priority="4">
      <formula>$AE10</formula>
    </cfRule>
  </conditionalFormatting>
  <conditionalFormatting sqref="V11:V22">
    <cfRule type="expression" dxfId="0" priority="3">
      <formula>$AE11</formula>
    </cfRule>
  </conditionalFormatting>
  <dataValidations count="5">
    <dataValidation type="whole" allowBlank="1" showInputMessage="1" showErrorMessage="1" promptTitle="Кол. циклов" prompt="Значения _x000a_в диапазоне_x000a_от 3 до 7" sqref="A27">
      <formula1>3</formula1>
      <formula2>7</formula2>
    </dataValidation>
    <dataValidation type="whole" allowBlank="1" showInputMessage="1" showErrorMessage="1" promptTitle="Значение" prompt="0 или 1" sqref="G10:G22 B10:B22 A28 L10:L22 Q10:Q22">
      <formula1>0</formula1>
      <formula2>1</formula2>
    </dataValidation>
    <dataValidation type="whole" allowBlank="1" showInputMessage="1" showErrorMessage="1" promptTitle="Целое число" prompt="от 0 до 9999" sqref="C10:C22 E10:E22 E31:E37 H10:H22 J10:J22 J31:J37 M10:M22 O10:O22 O31:O37 R10:R22 T10:T22 T31:T37">
      <formula1>0</formula1>
      <formula2>9999</formula2>
    </dataValidation>
    <dataValidation type="whole" allowBlank="1" showInputMessage="1" showErrorMessage="1" promptTitle="Целое число" prompt="от 100 _x000a_до МАКС - 100" sqref="J41">
      <formula1>100</formula1>
      <formula2>J42-100</formula2>
    </dataValidation>
    <dataValidation type="whole" allowBlank="1" showInputMessage="1" showErrorMessage="1" promptTitle="Целое число" prompt="от МИН+100_x000a_до 9999" sqref="J42">
      <formula1>J41+100</formula1>
      <formula2>9999</formula2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2" altText="Случайные значения интенсивности">
                <anchor moveWithCells="1" sizeWithCells="1">
                  <from>
                    <xdr:col>0</xdr:col>
                    <xdr:colOff>47625</xdr:colOff>
                    <xdr:row>40</xdr:row>
                    <xdr:rowOff>9525</xdr:rowOff>
                  </from>
                  <to>
                    <xdr:col>6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Эмулятор выбора программ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ProgYU</dc:creator>
  <cp:lastModifiedBy>ProgYU</cp:lastModifiedBy>
  <dcterms:created xsi:type="dcterms:W3CDTF">2021-09-23T07:39:12Z</dcterms:created>
  <dcterms:modified xsi:type="dcterms:W3CDTF">2021-09-24T07:10:51Z</dcterms:modified>
</cp:coreProperties>
</file>